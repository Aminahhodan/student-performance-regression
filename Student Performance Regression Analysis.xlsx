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7A76174-693A-4BFF-8451-9530DD37B8A2}" xr6:coauthVersionLast="45" xr6:coauthVersionMax="45" xr10:uidLastSave="{00000000-0000-0000-0000-000000000000}"/>
  <bookViews>
    <workbookView xWindow="11856" yWindow="492" windowWidth="10380" windowHeight="8904" activeTab="2" xr2:uid="{00000000-000D-0000-FFFF-FFFF00000000}"/>
  </bookViews>
  <sheets>
    <sheet name="Student_Data" sheetId="1" r:id="rId1"/>
    <sheet name="Sheet1" sheetId="2" r:id="rId2"/>
    <sheet name="Sheet4" sheetId="5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1" i="4" l="1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9" i="1"/>
  <c r="C30" i="1"/>
  <c r="C31" i="1"/>
  <c r="C23" i="1"/>
  <c r="C24" i="1"/>
  <c r="C25" i="1"/>
  <c r="C26" i="1"/>
  <c r="C27" i="1"/>
  <c r="C2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" i="1"/>
</calcChain>
</file>

<file path=xl/sharedStrings.xml><?xml version="1.0" encoding="utf-8"?>
<sst xmlns="http://schemas.openxmlformats.org/spreadsheetml/2006/main" count="270" uniqueCount="57">
  <si>
    <t>StudentID</t>
  </si>
  <si>
    <t>Age</t>
  </si>
  <si>
    <t>Course</t>
  </si>
  <si>
    <t>StudyHours</t>
  </si>
  <si>
    <t>AttendanceRate</t>
  </si>
  <si>
    <t>TestScore</t>
  </si>
  <si>
    <t>Satisfaction</t>
  </si>
  <si>
    <t>Data</t>
  </si>
  <si>
    <t>Software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</si>
  <si>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</si>
  <si>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</si>
  <si>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</si>
  <si>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</si>
  <si>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</si>
  <si>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</si>
  <si>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</si>
  <si>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</si>
  <si>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</si>
  <si>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</si>
  <si>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</si>
  <si>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</si>
  <si>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</si>
  <si>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</si>
  <si>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</si>
  <si>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</si>
  <si>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</si>
  <si>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</si>
  <si>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</si>
  <si>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</si>
  <si>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</si>
  <si>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</si>
  <si>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</si>
  <si>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</si>
  <si>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</si>
  <si>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</si>
  <si>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</si>
  <si>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</si>
  <si>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</si>
  <si>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</si>
  <si>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</si>
  <si>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</si>
  <si>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</si>
  <si>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</si>
  <si>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</si>
  <si>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</si>
  <si>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Multiple regression (StudyHours + AttendanceRate)</t>
  </si>
  <si>
    <t>A multiple regression analysis was conducted to examine whether StudyHours and AttendanceRate predict TestScore. The overall model was significant (F(2,26) = 3315.87, p &lt; .001) and explained 99.6% of variance in performance. StudyHours (β = 1.63, p &lt; .001) and AttendanceRate (β = 0.38, p = .016) were both significant predictors. Controlling for attendance, each additional study hour increases score by approximately 1.63 points.</t>
  </si>
  <si>
    <t>cfg</t>
  </si>
  <si>
    <t>data</t>
  </si>
  <si>
    <t>software</t>
  </si>
  <si>
    <t>RESIDUAL OUTPUT</t>
  </si>
  <si>
    <t>Observation</t>
  </si>
  <si>
    <t>Residuals</t>
  </si>
  <si>
    <t>Predicted 68</t>
  </si>
  <si>
    <t>PROBABILITY OUTPUT</t>
  </si>
  <si>
    <t>Percentile</t>
  </si>
  <si>
    <t>Standard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</si>
</sst>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Sheet4!$F$25:$F$53</c:f>
              <c:numCache>
                <c:formatCode>General</c:formatCode>
                <c:ptCount val="29"/>
                <c:pt idx="0">
                  <c:v>1.7241379310344827</c:v>
                </c:pt>
                <c:pt idx="1">
                  <c:v>5.1724137931034484</c:v>
                </c:pt>
                <c:pt idx="2">
                  <c:v>8.6206896551724128</c:v>
                </c:pt>
                <c:pt idx="3">
                  <c:v>12.068965517241379</c:v>
                </c:pt>
                <c:pt idx="4">
                  <c:v>15.517241379310343</c:v>
                </c:pt>
                <c:pt idx="5">
                  <c:v>18.96551724137931</c:v>
                </c:pt>
                <c:pt idx="6">
                  <c:v>22.413793103448278</c:v>
                </c:pt>
                <c:pt idx="7">
                  <c:v>25.862068965517242</c:v>
                </c:pt>
                <c:pt idx="8">
                  <c:v>29.310344827586206</c:v>
                </c:pt>
                <c:pt idx="9">
                  <c:v>32.758620689655167</c:v>
                </c:pt>
                <c:pt idx="10">
                  <c:v>36.206896551724135</c:v>
                </c:pt>
                <c:pt idx="11">
                  <c:v>39.655172413793103</c:v>
                </c:pt>
                <c:pt idx="12">
                  <c:v>43.103448275862071</c:v>
                </c:pt>
                <c:pt idx="13">
                  <c:v>46.551724137931032</c:v>
                </c:pt>
                <c:pt idx="14">
                  <c:v>50</c:v>
                </c:pt>
                <c:pt idx="15">
                  <c:v>53.448275862068961</c:v>
                </c:pt>
                <c:pt idx="16">
                  <c:v>56.896551724137929</c:v>
                </c:pt>
                <c:pt idx="17">
                  <c:v>60.344827586206897</c:v>
                </c:pt>
                <c:pt idx="18">
                  <c:v>63.793103448275858</c:v>
                </c:pt>
                <c:pt idx="19">
                  <c:v>67.241379310344811</c:v>
                </c:pt>
                <c:pt idx="20">
                  <c:v>70.689655172413779</c:v>
                </c:pt>
                <c:pt idx="21">
                  <c:v>74.137931034482747</c:v>
                </c:pt>
                <c:pt idx="22">
                  <c:v>77.586206896551715</c:v>
                </c:pt>
                <c:pt idx="23">
                  <c:v>81.034482758620683</c:v>
                </c:pt>
                <c:pt idx="24">
                  <c:v>84.482758620689651</c:v>
                </c:pt>
                <c:pt idx="25">
                  <c:v>87.931034482758605</c:v>
                </c:pt>
                <c:pt idx="26">
                  <c:v>91.379310344827573</c:v>
                </c:pt>
                <c:pt idx="27">
                  <c:v>94.827586206896541</c:v>
                </c:pt>
                <c:pt idx="28">
                  <c:v>98.275862068965509</c:v>
                </c:pt>
              </c:numCache>
            </c:numRef>
          </c:xVal>
          <c:yVal>
            <c:numRef>
              <c:f>Sheet4!$G$25:$G$53</c:f>
              <c:numCache>
                <c:formatCode>General</c:formatCode>
                <c:ptCount val="29"/>
                <c:pt idx="0">
                  <c:v>54</c:v>
                </c:pt>
                <c:pt idx="1">
                  <c:v>55</c:v>
                </c:pt>
                <c:pt idx="2">
                  <c:v>58</c:v>
                </c:pt>
                <c:pt idx="3">
                  <c:v>60</c:v>
                </c:pt>
                <c:pt idx="4">
                  <c:v>62</c:v>
                </c:pt>
                <c:pt idx="5">
                  <c:v>63</c:v>
                </c:pt>
                <c:pt idx="6">
                  <c:v>65</c:v>
                </c:pt>
                <c:pt idx="7">
                  <c:v>67</c:v>
                </c:pt>
                <c:pt idx="8">
                  <c:v>69</c:v>
                </c:pt>
                <c:pt idx="9">
                  <c:v>70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78</c:v>
                </c:pt>
                <c:pt idx="15">
                  <c:v>80</c:v>
                </c:pt>
                <c:pt idx="16">
                  <c:v>82</c:v>
                </c:pt>
                <c:pt idx="17">
                  <c:v>83</c:v>
                </c:pt>
                <c:pt idx="18">
                  <c:v>84</c:v>
                </c:pt>
                <c:pt idx="19">
                  <c:v>85</c:v>
                </c:pt>
                <c:pt idx="20">
                  <c:v>86</c:v>
                </c:pt>
                <c:pt idx="21">
                  <c:v>88</c:v>
                </c:pt>
                <c:pt idx="22">
                  <c:v>89</c:v>
                </c:pt>
                <c:pt idx="23">
                  <c:v>90</c:v>
                </c:pt>
                <c:pt idx="24">
                  <c:v>91</c:v>
                </c:pt>
                <c:pt idx="25">
                  <c:v>92</c:v>
                </c:pt>
                <c:pt idx="26">
                  <c:v>93</c:v>
                </c:pt>
                <c:pt idx="27">
                  <c:v>94</c:v>
                </c:pt>
                <c:pt idx="28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84-4FB2-9D88-45BFD2900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993184"/>
        <c:axId val="740894512"/>
      </c:scatterChart>
      <c:valAx>
        <c:axId val="687993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40894512"/>
        <c:crosses val="autoZero"/>
        <c:crossBetween val="midCat"/>
      </c:valAx>
      <c:valAx>
        <c:axId val="7408945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799318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Sheet3!$E$3:$E$31</c:f>
              <c:numCache>
                <c:formatCode>General</c:formatCode>
                <c:ptCount val="29"/>
                <c:pt idx="0">
                  <c:v>20</c:v>
                </c:pt>
                <c:pt idx="1">
                  <c:v>8</c:v>
                </c:pt>
                <c:pt idx="2">
                  <c:v>18</c:v>
                </c:pt>
                <c:pt idx="3">
                  <c:v>15</c:v>
                </c:pt>
                <c:pt idx="4">
                  <c:v>22</c:v>
                </c:pt>
                <c:pt idx="5">
                  <c:v>6</c:v>
                </c:pt>
                <c:pt idx="6">
                  <c:v>17</c:v>
                </c:pt>
                <c:pt idx="7">
                  <c:v>14</c:v>
                </c:pt>
                <c:pt idx="8">
                  <c:v>19</c:v>
                </c:pt>
                <c:pt idx="9">
                  <c:v>10</c:v>
                </c:pt>
                <c:pt idx="10">
                  <c:v>24</c:v>
                </c:pt>
                <c:pt idx="11">
                  <c:v>9</c:v>
                </c:pt>
                <c:pt idx="12">
                  <c:v>21</c:v>
                </c:pt>
                <c:pt idx="13">
                  <c:v>11</c:v>
                </c:pt>
                <c:pt idx="14">
                  <c:v>16</c:v>
                </c:pt>
                <c:pt idx="15">
                  <c:v>13</c:v>
                </c:pt>
                <c:pt idx="16">
                  <c:v>23</c:v>
                </c:pt>
                <c:pt idx="17">
                  <c:v>7</c:v>
                </c:pt>
                <c:pt idx="18">
                  <c:v>18</c:v>
                </c:pt>
                <c:pt idx="19">
                  <c:v>14</c:v>
                </c:pt>
                <c:pt idx="20">
                  <c:v>22</c:v>
                </c:pt>
                <c:pt idx="21">
                  <c:v>9</c:v>
                </c:pt>
                <c:pt idx="22">
                  <c:v>20</c:v>
                </c:pt>
                <c:pt idx="23">
                  <c:v>15</c:v>
                </c:pt>
                <c:pt idx="24">
                  <c:v>25</c:v>
                </c:pt>
                <c:pt idx="25">
                  <c:v>6</c:v>
                </c:pt>
                <c:pt idx="26">
                  <c:v>19</c:v>
                </c:pt>
                <c:pt idx="27">
                  <c:v>12</c:v>
                </c:pt>
                <c:pt idx="28">
                  <c:v>23</c:v>
                </c:pt>
              </c:numCache>
            </c:numRef>
          </c:xVal>
          <c:yVal>
            <c:numRef>
              <c:f>Sheet3!$M$40:$M$68</c:f>
              <c:numCache>
                <c:formatCode>General</c:formatCode>
                <c:ptCount val="29"/>
                <c:pt idx="0">
                  <c:v>1.7980691281597672</c:v>
                </c:pt>
                <c:pt idx="1">
                  <c:v>0.10671383300169879</c:v>
                </c:pt>
                <c:pt idx="2">
                  <c:v>0.18284324563342125</c:v>
                </c:pt>
                <c:pt idx="3">
                  <c:v>-0.23999557815609762</c:v>
                </c:pt>
                <c:pt idx="4">
                  <c:v>0.41329501068611307</c:v>
                </c:pt>
                <c:pt idx="5">
                  <c:v>-0.50851204952464713</c:v>
                </c:pt>
                <c:pt idx="6">
                  <c:v>0.37523030437024829</c:v>
                </c:pt>
                <c:pt idx="7">
                  <c:v>-1.0476085194192706</c:v>
                </c:pt>
                <c:pt idx="8">
                  <c:v>0.9904561868965942</c:v>
                </c:pt>
                <c:pt idx="9">
                  <c:v>0.7219397155280376</c:v>
                </c:pt>
                <c:pt idx="10">
                  <c:v>-0.97147910678754101</c:v>
                </c:pt>
                <c:pt idx="11">
                  <c:v>0.91432677426487174</c:v>
                </c:pt>
                <c:pt idx="12">
                  <c:v>0.60568206942292591</c:v>
                </c:pt>
                <c:pt idx="13">
                  <c:v>0.52955265679121055</c:v>
                </c:pt>
                <c:pt idx="14">
                  <c:v>0.56761736310707533</c:v>
                </c:pt>
                <c:pt idx="15">
                  <c:v>-0.85522146068244354</c:v>
                </c:pt>
                <c:pt idx="16">
                  <c:v>-0.77909204805072818</c:v>
                </c:pt>
                <c:pt idx="17">
                  <c:v>0.29910089173852583</c:v>
                </c:pt>
                <c:pt idx="18">
                  <c:v>2.1828432456334212</c:v>
                </c:pt>
                <c:pt idx="19">
                  <c:v>-4.7608519419270579E-2</c:v>
                </c:pt>
                <c:pt idx="20">
                  <c:v>-0.58670498931388693</c:v>
                </c:pt>
                <c:pt idx="21">
                  <c:v>-8.5673225735128256E-2</c:v>
                </c:pt>
                <c:pt idx="22">
                  <c:v>-0.20193087184023284</c:v>
                </c:pt>
                <c:pt idx="23">
                  <c:v>-1.2399955781560976</c:v>
                </c:pt>
                <c:pt idx="24">
                  <c:v>-1.1638661655243823</c:v>
                </c:pt>
                <c:pt idx="25">
                  <c:v>-1.5085120495246471</c:v>
                </c:pt>
                <c:pt idx="26">
                  <c:v>-1.0095438131034058</c:v>
                </c:pt>
                <c:pt idx="27">
                  <c:v>0.33716559805438351</c:v>
                </c:pt>
                <c:pt idx="28">
                  <c:v>0.22090795194927182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E3-489F-B91C-4FB86D4A7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92304"/>
        <c:axId val="740898672"/>
      </c:scatterChart>
      <c:valAx>
        <c:axId val="118692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40898672"/>
        <c:crosses val="autoZero"/>
        <c:crossBetween val="midCat"/>
      </c:valAx>
      <c:valAx>
        <c:axId val="7408986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69230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Sheet3!$O$40:$O$68</c:f>
              <c:numCache>
                <c:formatCode>General</c:formatCode>
                <c:ptCount val="29"/>
                <c:pt idx="0">
                  <c:v>1.7241379310344827</c:v>
                </c:pt>
                <c:pt idx="1">
                  <c:v>5.1724137931034484</c:v>
                </c:pt>
                <c:pt idx="2">
                  <c:v>8.6206896551724128</c:v>
                </c:pt>
                <c:pt idx="3">
                  <c:v>12.068965517241379</c:v>
                </c:pt>
                <c:pt idx="4">
                  <c:v>15.517241379310343</c:v>
                </c:pt>
                <c:pt idx="5">
                  <c:v>18.96551724137931</c:v>
                </c:pt>
                <c:pt idx="6">
                  <c:v>22.413793103448278</c:v>
                </c:pt>
                <c:pt idx="7">
                  <c:v>25.862068965517242</c:v>
                </c:pt>
                <c:pt idx="8">
                  <c:v>29.310344827586206</c:v>
                </c:pt>
                <c:pt idx="9">
                  <c:v>32.758620689655167</c:v>
                </c:pt>
                <c:pt idx="10">
                  <c:v>36.206896551724135</c:v>
                </c:pt>
                <c:pt idx="11">
                  <c:v>39.655172413793103</c:v>
                </c:pt>
                <c:pt idx="12">
                  <c:v>43.103448275862071</c:v>
                </c:pt>
                <c:pt idx="13">
                  <c:v>46.551724137931032</c:v>
                </c:pt>
                <c:pt idx="14">
                  <c:v>50</c:v>
                </c:pt>
                <c:pt idx="15">
                  <c:v>53.448275862068961</c:v>
                </c:pt>
                <c:pt idx="16">
                  <c:v>56.896551724137929</c:v>
                </c:pt>
                <c:pt idx="17">
                  <c:v>60.344827586206897</c:v>
                </c:pt>
                <c:pt idx="18">
                  <c:v>63.793103448275858</c:v>
                </c:pt>
                <c:pt idx="19">
                  <c:v>67.241379310344811</c:v>
                </c:pt>
                <c:pt idx="20">
                  <c:v>70.689655172413779</c:v>
                </c:pt>
                <c:pt idx="21">
                  <c:v>74.137931034482747</c:v>
                </c:pt>
                <c:pt idx="22">
                  <c:v>77.586206896551715</c:v>
                </c:pt>
                <c:pt idx="23">
                  <c:v>81.034482758620683</c:v>
                </c:pt>
                <c:pt idx="24">
                  <c:v>84.482758620689651</c:v>
                </c:pt>
                <c:pt idx="25">
                  <c:v>87.931034482758605</c:v>
                </c:pt>
                <c:pt idx="26">
                  <c:v>91.379310344827573</c:v>
                </c:pt>
                <c:pt idx="27">
                  <c:v>94.827586206896541</c:v>
                </c:pt>
                <c:pt idx="28">
                  <c:v>98.275862068965509</c:v>
                </c:pt>
              </c:numCache>
            </c:numRef>
          </c:xVal>
          <c:yVal>
            <c:numRef>
              <c:f>Sheet3!$P$40:$P$68</c:f>
              <c:numCache>
                <c:formatCode>General</c:formatCode>
                <c:ptCount val="29"/>
                <c:pt idx="0">
                  <c:v>54</c:v>
                </c:pt>
                <c:pt idx="1">
                  <c:v>55</c:v>
                </c:pt>
                <c:pt idx="2">
                  <c:v>58</c:v>
                </c:pt>
                <c:pt idx="3">
                  <c:v>60</c:v>
                </c:pt>
                <c:pt idx="4">
                  <c:v>62</c:v>
                </c:pt>
                <c:pt idx="5">
                  <c:v>63</c:v>
                </c:pt>
                <c:pt idx="6">
                  <c:v>65</c:v>
                </c:pt>
                <c:pt idx="7">
                  <c:v>67</c:v>
                </c:pt>
                <c:pt idx="8">
                  <c:v>69</c:v>
                </c:pt>
                <c:pt idx="9">
                  <c:v>70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78</c:v>
                </c:pt>
                <c:pt idx="15">
                  <c:v>80</c:v>
                </c:pt>
                <c:pt idx="16">
                  <c:v>82</c:v>
                </c:pt>
                <c:pt idx="17">
                  <c:v>83</c:v>
                </c:pt>
                <c:pt idx="18">
                  <c:v>84</c:v>
                </c:pt>
                <c:pt idx="19">
                  <c:v>85</c:v>
                </c:pt>
                <c:pt idx="20">
                  <c:v>86</c:v>
                </c:pt>
                <c:pt idx="21">
                  <c:v>88</c:v>
                </c:pt>
                <c:pt idx="22">
                  <c:v>89</c:v>
                </c:pt>
                <c:pt idx="23">
                  <c:v>90</c:v>
                </c:pt>
                <c:pt idx="24">
                  <c:v>91</c:v>
                </c:pt>
                <c:pt idx="25">
                  <c:v>92</c:v>
                </c:pt>
                <c:pt idx="26">
                  <c:v>93</c:v>
                </c:pt>
                <c:pt idx="27">
                  <c:v>94</c:v>
                </c:pt>
                <c:pt idx="28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97-418A-86FE-B900564F8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95504"/>
        <c:axId val="740896592"/>
      </c:scatterChart>
      <c:valAx>
        <c:axId val="118695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40896592"/>
        <c:crosses val="autoZero"/>
        <c:crossBetween val="midCat"/>
      </c:valAx>
      <c:valAx>
        <c:axId val="7408965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69550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255270</xdr:colOff>
      <xdr:row>0</xdr:row>
      <xdr:rowOff>179070</xdr:rowOff>
    </xdr:from>
    <xdr:to>
      <xdr:col>15</xdr:col>
      <xdr:colOff>255270</xdr:colOff>
      <xdr:row>10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702BE5-7F00-4E32-8758-9DAA05C44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563880</xdr:colOff>
      <xdr:row>11</xdr:row>
      <xdr:rowOff>133350</xdr:rowOff>
    </xdr:from>
    <xdr:to>
      <xdr:col>18</xdr:col>
      <xdr:colOff>563880</xdr:colOff>
      <xdr:row>21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FC834C-7B98-48F1-BEB3-AE26078D2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346710</xdr:colOff>
      <xdr:row>2</xdr:row>
      <xdr:rowOff>179070</xdr:rowOff>
    </xdr:from>
    <xdr:to>
      <xdr:col>22</xdr:col>
      <xdr:colOff>346710</xdr:colOff>
      <xdr:row>13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CFA23D-8C39-4371-818A-B36B795C1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"/>
  <sheetViews>
    <sheetView workbookViewId="0">
      <selection activeCell="L25" sqref="L25"/>
    </sheetView>
  </sheetViews>
  <sheetFormatPr defaultRowHeight="14.4" x14ac:dyDescent="0.55000000000000004"/>
  <cols>
    <col min="8" max="8" width="9.68359375" customWidth="1"/>
    <col min="12" max="12" width="15.83984375" customWidth="1"/>
    <col min="13" max="13" width="11.68359375" customWidth="1"/>
  </cols>
  <sheetData>
    <row r="1" spans="1:13" x14ac:dyDescent="0.55000000000000004">
      <c r="A1" t="s">
        <v>0</v>
      </c>
      <c r="B1" t="s">
        <v>1</v>
      </c>
      <c r="C1" t="s">
        <v>47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3" ht="14.7" thickBot="1" x14ac:dyDescent="0.6">
      <c r="A2">
        <v>1</v>
      </c>
      <c r="B2">
        <v>22</v>
      </c>
      <c r="C2">
        <f>IF(D2="software",1,0)</f>
        <v>0</v>
      </c>
      <c r="D2" t="s">
        <v>7</v>
      </c>
      <c r="E2">
        <v>12</v>
      </c>
      <c r="F2">
        <v>85</v>
      </c>
      <c r="G2">
        <v>68</v>
      </c>
      <c r="H2">
        <v>3</v>
      </c>
      <c r="J2" t="s">
        <v>48</v>
      </c>
      <c r="K2">
        <v>0</v>
      </c>
    </row>
    <row r="3" spans="1:13" x14ac:dyDescent="0.55000000000000004">
      <c r="A3">
        <v>2</v>
      </c>
      <c r="B3">
        <v>29</v>
      </c>
      <c r="C3">
        <f t="shared" ref="C3:C31" si="0">IF(D3="software",1,0)</f>
        <v>1</v>
      </c>
      <c r="D3" t="s">
        <v>8</v>
      </c>
      <c r="E3">
        <v>20</v>
      </c>
      <c r="F3">
        <v>95</v>
      </c>
      <c r="G3">
        <v>88</v>
      </c>
      <c r="H3">
        <v>5</v>
      </c>
      <c r="J3" t="s">
        <v>49</v>
      </c>
      <c r="K3">
        <v>1</v>
      </c>
      <c r="L3" s="4">
        <v>68</v>
      </c>
      <c r="M3" s="4"/>
    </row>
    <row r="4" spans="1:13" x14ac:dyDescent="0.55000000000000004">
      <c r="A4">
        <v>3</v>
      </c>
      <c r="B4">
        <v>24</v>
      </c>
      <c r="C4">
        <f t="shared" si="0"/>
        <v>0</v>
      </c>
      <c r="D4" t="s">
        <v>7</v>
      </c>
      <c r="E4">
        <v>8</v>
      </c>
      <c r="F4">
        <v>75</v>
      </c>
      <c r="G4">
        <v>60</v>
      </c>
      <c r="H4">
        <v>3</v>
      </c>
      <c r="L4" s="1"/>
      <c r="M4" s="1"/>
    </row>
    <row r="5" spans="1:13" x14ac:dyDescent="0.55000000000000004">
      <c r="A5">
        <v>4</v>
      </c>
      <c r="B5">
        <v>31</v>
      </c>
      <c r="C5">
        <f t="shared" si="0"/>
        <v>1</v>
      </c>
      <c r="D5" t="s">
        <v>8</v>
      </c>
      <c r="E5">
        <v>18</v>
      </c>
      <c r="F5">
        <v>90</v>
      </c>
      <c r="G5">
        <v>82</v>
      </c>
      <c r="H5">
        <v>4</v>
      </c>
      <c r="L5" s="1" t="s">
        <v>9</v>
      </c>
      <c r="M5" s="1">
        <v>76.827586206896555</v>
      </c>
    </row>
    <row r="6" spans="1:13" x14ac:dyDescent="0.55000000000000004">
      <c r="A6">
        <v>5</v>
      </c>
      <c r="B6">
        <v>27</v>
      </c>
      <c r="C6">
        <f t="shared" si="0"/>
        <v>0</v>
      </c>
      <c r="D6" t="s">
        <v>7</v>
      </c>
      <c r="E6">
        <v>15</v>
      </c>
      <c r="F6">
        <v>88</v>
      </c>
      <c r="G6">
        <v>75</v>
      </c>
      <c r="H6">
        <v>4</v>
      </c>
      <c r="L6" s="1" t="s">
        <v>10</v>
      </c>
      <c r="M6" s="1">
        <v>2.3593796491578489</v>
      </c>
    </row>
    <row r="7" spans="1:13" ht="14.7" thickBot="1" x14ac:dyDescent="0.6">
      <c r="A7">
        <v>6</v>
      </c>
      <c r="B7">
        <v>34</v>
      </c>
      <c r="C7">
        <f t="shared" si="0"/>
        <v>1</v>
      </c>
      <c r="D7" t="s">
        <v>8</v>
      </c>
      <c r="E7">
        <v>22</v>
      </c>
      <c r="F7">
        <v>96</v>
      </c>
      <c r="G7">
        <v>91</v>
      </c>
      <c r="H7">
        <v>5</v>
      </c>
      <c r="L7" s="1" t="s">
        <v>11</v>
      </c>
      <c r="M7" s="1">
        <v>78</v>
      </c>
    </row>
    <row r="8" spans="1:13" x14ac:dyDescent="0.55000000000000004">
      <c r="A8">
        <v>7</v>
      </c>
      <c r="B8">
        <v>21</v>
      </c>
      <c r="C8">
        <f t="shared" si="0"/>
        <v>0</v>
      </c>
      <c r="D8" t="s">
        <v>7</v>
      </c>
      <c r="E8">
        <v>6</v>
      </c>
      <c r="F8">
        <v>70</v>
      </c>
      <c r="G8">
        <v>55</v>
      </c>
      <c r="H8">
        <v>2</v>
      </c>
      <c r="J8" s="4"/>
      <c r="K8" s="4"/>
      <c r="L8" s="1" t="s">
        <v>12</v>
      </c>
      <c r="M8" s="1" t="e">
        <v>#N/A</v>
      </c>
    </row>
    <row r="9" spans="1:13" x14ac:dyDescent="0.55000000000000004">
      <c r="A9">
        <v>8</v>
      </c>
      <c r="B9">
        <v>30</v>
      </c>
      <c r="C9">
        <f t="shared" si="0"/>
        <v>1</v>
      </c>
      <c r="D9" t="s">
        <v>8</v>
      </c>
      <c r="E9">
        <v>17</v>
      </c>
      <c r="F9">
        <v>89</v>
      </c>
      <c r="G9">
        <v>80</v>
      </c>
      <c r="H9">
        <v>4</v>
      </c>
      <c r="J9" s="1"/>
      <c r="K9" s="1"/>
      <c r="L9" s="1" t="s">
        <v>13</v>
      </c>
      <c r="M9" s="1">
        <v>12.7056482533142</v>
      </c>
    </row>
    <row r="10" spans="1:13" x14ac:dyDescent="0.55000000000000004">
      <c r="A10">
        <v>9</v>
      </c>
      <c r="B10">
        <v>26</v>
      </c>
      <c r="C10">
        <f t="shared" si="0"/>
        <v>0</v>
      </c>
      <c r="D10" t="s">
        <v>7</v>
      </c>
      <c r="E10">
        <v>14</v>
      </c>
      <c r="F10">
        <v>84</v>
      </c>
      <c r="G10">
        <v>72</v>
      </c>
      <c r="H10">
        <v>4</v>
      </c>
      <c r="J10" s="1"/>
      <c r="K10" s="1"/>
      <c r="L10" s="1" t="s">
        <v>14</v>
      </c>
      <c r="M10" s="1">
        <v>161.43349753694616</v>
      </c>
    </row>
    <row r="11" spans="1:13" x14ac:dyDescent="0.55000000000000004">
      <c r="A11">
        <v>10</v>
      </c>
      <c r="B11">
        <v>28</v>
      </c>
      <c r="C11">
        <f t="shared" si="0"/>
        <v>1</v>
      </c>
      <c r="D11" t="s">
        <v>8</v>
      </c>
      <c r="E11">
        <v>19</v>
      </c>
      <c r="F11">
        <v>92</v>
      </c>
      <c r="G11">
        <v>85</v>
      </c>
      <c r="H11">
        <v>5</v>
      </c>
      <c r="J11" s="1"/>
      <c r="K11" s="1"/>
      <c r="L11" s="1" t="s">
        <v>15</v>
      </c>
      <c r="M11" s="1">
        <v>-1.1546638905733762</v>
      </c>
    </row>
    <row r="12" spans="1:13" x14ac:dyDescent="0.55000000000000004">
      <c r="A12">
        <v>11</v>
      </c>
      <c r="B12">
        <v>23</v>
      </c>
      <c r="C12">
        <f t="shared" si="0"/>
        <v>0</v>
      </c>
      <c r="D12" t="s">
        <v>7</v>
      </c>
      <c r="E12">
        <v>10</v>
      </c>
      <c r="F12">
        <v>78</v>
      </c>
      <c r="G12">
        <v>65</v>
      </c>
      <c r="H12">
        <v>3</v>
      </c>
      <c r="J12" s="1"/>
      <c r="K12" s="1"/>
      <c r="L12" s="1" t="s">
        <v>16</v>
      </c>
      <c r="M12" s="1">
        <v>-0.2427291291025544</v>
      </c>
    </row>
    <row r="13" spans="1:13" x14ac:dyDescent="0.55000000000000004">
      <c r="A13">
        <v>12</v>
      </c>
      <c r="B13">
        <v>35</v>
      </c>
      <c r="C13">
        <f t="shared" si="0"/>
        <v>1</v>
      </c>
      <c r="D13" t="s">
        <v>8</v>
      </c>
      <c r="E13">
        <v>24</v>
      </c>
      <c r="F13">
        <v>97</v>
      </c>
      <c r="G13">
        <v>94</v>
      </c>
      <c r="H13">
        <v>5</v>
      </c>
      <c r="J13" s="1"/>
      <c r="K13" s="1"/>
      <c r="L13" s="1" t="s">
        <v>17</v>
      </c>
      <c r="M13" s="1">
        <v>42</v>
      </c>
    </row>
    <row r="14" spans="1:13" x14ac:dyDescent="0.55000000000000004">
      <c r="A14">
        <v>13</v>
      </c>
      <c r="B14">
        <v>25</v>
      </c>
      <c r="C14">
        <f t="shared" si="0"/>
        <v>0</v>
      </c>
      <c r="D14" t="s">
        <v>7</v>
      </c>
      <c r="E14">
        <v>9</v>
      </c>
      <c r="F14">
        <v>76</v>
      </c>
      <c r="G14">
        <v>63</v>
      </c>
      <c r="H14">
        <v>3</v>
      </c>
      <c r="J14" s="1"/>
      <c r="K14" s="1"/>
      <c r="L14" s="1" t="s">
        <v>18</v>
      </c>
      <c r="M14" s="1">
        <v>54</v>
      </c>
    </row>
    <row r="15" spans="1:13" x14ac:dyDescent="0.55000000000000004">
      <c r="A15">
        <v>14</v>
      </c>
      <c r="B15">
        <v>32</v>
      </c>
      <c r="C15">
        <f t="shared" si="0"/>
        <v>1</v>
      </c>
      <c r="D15" t="s">
        <v>8</v>
      </c>
      <c r="E15">
        <v>21</v>
      </c>
      <c r="F15">
        <v>94</v>
      </c>
      <c r="G15">
        <v>89</v>
      </c>
      <c r="H15">
        <v>5</v>
      </c>
      <c r="J15" s="1"/>
      <c r="K15" s="1"/>
      <c r="L15" s="1" t="s">
        <v>19</v>
      </c>
      <c r="M15" s="1">
        <v>96</v>
      </c>
    </row>
    <row r="16" spans="1:13" x14ac:dyDescent="0.55000000000000004">
      <c r="A16">
        <v>15</v>
      </c>
      <c r="B16">
        <v>24</v>
      </c>
      <c r="C16">
        <f t="shared" si="0"/>
        <v>0</v>
      </c>
      <c r="D16" t="s">
        <v>7</v>
      </c>
      <c r="E16">
        <v>11</v>
      </c>
      <c r="F16">
        <v>80</v>
      </c>
      <c r="G16">
        <v>67</v>
      </c>
      <c r="H16">
        <v>3</v>
      </c>
      <c r="J16" s="1"/>
      <c r="K16" s="1"/>
      <c r="L16" s="1" t="s">
        <v>20</v>
      </c>
      <c r="M16" s="1">
        <v>2228</v>
      </c>
    </row>
    <row r="17" spans="1:13" ht="14.7" thickBot="1" x14ac:dyDescent="0.6">
      <c r="A17">
        <v>16</v>
      </c>
      <c r="B17">
        <v>29</v>
      </c>
      <c r="C17">
        <f t="shared" si="0"/>
        <v>1</v>
      </c>
      <c r="D17" t="s">
        <v>8</v>
      </c>
      <c r="E17">
        <v>16</v>
      </c>
      <c r="F17">
        <v>87</v>
      </c>
      <c r="G17">
        <v>78</v>
      </c>
      <c r="H17">
        <v>4</v>
      </c>
      <c r="J17" s="1"/>
      <c r="K17" s="1"/>
      <c r="L17" s="2" t="s">
        <v>21</v>
      </c>
      <c r="M17" s="2">
        <v>29</v>
      </c>
    </row>
    <row r="18" spans="1:13" x14ac:dyDescent="0.55000000000000004">
      <c r="A18">
        <v>17</v>
      </c>
      <c r="B18">
        <v>27</v>
      </c>
      <c r="C18">
        <f t="shared" si="0"/>
        <v>0</v>
      </c>
      <c r="D18" t="s">
        <v>7</v>
      </c>
      <c r="E18">
        <v>13</v>
      </c>
      <c r="F18">
        <v>82</v>
      </c>
      <c r="G18">
        <v>70</v>
      </c>
      <c r="H18">
        <v>4</v>
      </c>
      <c r="J18" s="1"/>
      <c r="K18" s="1"/>
    </row>
    <row r="19" spans="1:13" x14ac:dyDescent="0.55000000000000004">
      <c r="A19">
        <v>18</v>
      </c>
      <c r="B19">
        <v>33</v>
      </c>
      <c r="C19">
        <f t="shared" si="0"/>
        <v>1</v>
      </c>
      <c r="D19" t="s">
        <v>8</v>
      </c>
      <c r="E19">
        <v>23</v>
      </c>
      <c r="F19">
        <v>96</v>
      </c>
      <c r="G19">
        <v>92</v>
      </c>
      <c r="H19">
        <v>5</v>
      </c>
      <c r="J19" s="1"/>
      <c r="K19" s="1"/>
    </row>
    <row r="20" spans="1:13" x14ac:dyDescent="0.55000000000000004">
      <c r="A20">
        <v>19</v>
      </c>
      <c r="B20">
        <v>22</v>
      </c>
      <c r="C20">
        <f t="shared" si="0"/>
        <v>0</v>
      </c>
      <c r="D20" t="s">
        <v>7</v>
      </c>
      <c r="E20">
        <v>7</v>
      </c>
      <c r="F20">
        <v>73</v>
      </c>
      <c r="G20">
        <v>58</v>
      </c>
      <c r="H20">
        <v>2</v>
      </c>
      <c r="J20" s="1"/>
      <c r="K20" s="1"/>
    </row>
    <row r="21" spans="1:13" x14ac:dyDescent="0.55000000000000004">
      <c r="A21">
        <v>20</v>
      </c>
      <c r="B21">
        <v>31</v>
      </c>
      <c r="C21">
        <f t="shared" si="0"/>
        <v>1</v>
      </c>
      <c r="D21" t="s">
        <v>8</v>
      </c>
      <c r="E21">
        <v>18</v>
      </c>
      <c r="F21">
        <v>91</v>
      </c>
      <c r="G21">
        <v>84</v>
      </c>
      <c r="H21">
        <v>4</v>
      </c>
      <c r="J21" s="1"/>
      <c r="K21" s="1"/>
    </row>
    <row r="22" spans="1:13" ht="14.7" thickBot="1" x14ac:dyDescent="0.6">
      <c r="A22">
        <v>21</v>
      </c>
      <c r="B22">
        <v>26</v>
      </c>
      <c r="C22">
        <f t="shared" si="0"/>
        <v>0</v>
      </c>
      <c r="D22" t="s">
        <v>7</v>
      </c>
      <c r="E22">
        <v>14</v>
      </c>
      <c r="F22">
        <v>85</v>
      </c>
      <c r="G22">
        <v>73</v>
      </c>
      <c r="H22">
        <v>4</v>
      </c>
      <c r="J22" s="2"/>
      <c r="K22" s="2"/>
    </row>
    <row r="23" spans="1:13" x14ac:dyDescent="0.55000000000000004">
      <c r="A23">
        <v>22</v>
      </c>
      <c r="B23">
        <v>34</v>
      </c>
      <c r="C23">
        <f>IF(D23="software",1,0)</f>
        <v>1</v>
      </c>
      <c r="D23" t="s">
        <v>8</v>
      </c>
      <c r="E23">
        <v>22</v>
      </c>
      <c r="F23">
        <v>95</v>
      </c>
      <c r="G23">
        <v>90</v>
      </c>
      <c r="H23">
        <v>5</v>
      </c>
    </row>
    <row r="24" spans="1:13" x14ac:dyDescent="0.55000000000000004">
      <c r="A24">
        <v>23</v>
      </c>
      <c r="B24">
        <v>23</v>
      </c>
      <c r="C24">
        <f t="shared" si="0"/>
        <v>0</v>
      </c>
      <c r="D24" t="s">
        <v>7</v>
      </c>
      <c r="E24">
        <v>9</v>
      </c>
      <c r="F24">
        <v>77</v>
      </c>
      <c r="G24">
        <v>62</v>
      </c>
      <c r="H24">
        <v>3</v>
      </c>
    </row>
    <row r="25" spans="1:13" x14ac:dyDescent="0.55000000000000004">
      <c r="A25">
        <v>24</v>
      </c>
      <c r="B25">
        <v>30</v>
      </c>
      <c r="C25">
        <f t="shared" si="0"/>
        <v>1</v>
      </c>
      <c r="D25" t="s">
        <v>8</v>
      </c>
      <c r="E25">
        <v>20</v>
      </c>
      <c r="F25">
        <v>93</v>
      </c>
      <c r="G25">
        <v>86</v>
      </c>
      <c r="H25">
        <v>5</v>
      </c>
    </row>
    <row r="26" spans="1:13" x14ac:dyDescent="0.55000000000000004">
      <c r="A26">
        <v>25</v>
      </c>
      <c r="B26">
        <v>28</v>
      </c>
      <c r="C26">
        <f t="shared" si="0"/>
        <v>0</v>
      </c>
      <c r="D26" t="s">
        <v>7</v>
      </c>
      <c r="E26">
        <v>15</v>
      </c>
      <c r="F26">
        <v>86</v>
      </c>
      <c r="G26">
        <v>74</v>
      </c>
      <c r="H26">
        <v>4</v>
      </c>
    </row>
    <row r="27" spans="1:13" x14ac:dyDescent="0.55000000000000004">
      <c r="A27">
        <v>26</v>
      </c>
      <c r="B27">
        <v>35</v>
      </c>
      <c r="C27">
        <f t="shared" si="0"/>
        <v>1</v>
      </c>
      <c r="D27" t="s">
        <v>8</v>
      </c>
      <c r="E27">
        <v>25</v>
      </c>
      <c r="F27">
        <v>98</v>
      </c>
      <c r="G27">
        <v>96</v>
      </c>
      <c r="H27">
        <v>5</v>
      </c>
    </row>
    <row r="28" spans="1:13" x14ac:dyDescent="0.55000000000000004">
      <c r="A28">
        <v>27</v>
      </c>
      <c r="B28">
        <v>21</v>
      </c>
      <c r="C28">
        <f t="shared" si="0"/>
        <v>0</v>
      </c>
      <c r="D28" t="s">
        <v>7</v>
      </c>
      <c r="E28">
        <v>6</v>
      </c>
      <c r="F28">
        <v>72</v>
      </c>
      <c r="G28">
        <v>54</v>
      </c>
      <c r="H28">
        <v>2</v>
      </c>
    </row>
    <row r="29" spans="1:13" x14ac:dyDescent="0.55000000000000004">
      <c r="A29">
        <v>28</v>
      </c>
      <c r="B29">
        <v>32</v>
      </c>
      <c r="C29">
        <f>IF(D29="software",1,0)</f>
        <v>1</v>
      </c>
      <c r="D29" t="s">
        <v>8</v>
      </c>
      <c r="E29">
        <v>19</v>
      </c>
      <c r="F29">
        <v>92</v>
      </c>
      <c r="G29">
        <v>83</v>
      </c>
      <c r="H29">
        <v>4</v>
      </c>
    </row>
    <row r="30" spans="1:13" x14ac:dyDescent="0.55000000000000004">
      <c r="A30">
        <v>29</v>
      </c>
      <c r="B30">
        <v>25</v>
      </c>
      <c r="C30">
        <f t="shared" si="0"/>
        <v>0</v>
      </c>
      <c r="D30" t="s">
        <v>7</v>
      </c>
      <c r="E30">
        <v>12</v>
      </c>
      <c r="F30">
        <v>81</v>
      </c>
      <c r="G30">
        <v>69</v>
      </c>
      <c r="H30">
        <v>3</v>
      </c>
    </row>
    <row r="31" spans="1:13" x14ac:dyDescent="0.55000000000000004">
      <c r="A31">
        <v>30</v>
      </c>
      <c r="B31">
        <v>33</v>
      </c>
      <c r="C31">
        <f t="shared" si="0"/>
        <v>1</v>
      </c>
      <c r="D31" t="s">
        <v>8</v>
      </c>
      <c r="E31">
        <v>23</v>
      </c>
      <c r="F31">
        <v>97</v>
      </c>
      <c r="G31">
        <v>93</v>
      </c>
      <c r="H31">
        <v>5</v>
      </c>
    </row>
    <row r="36" spans="2:8" x14ac:dyDescent="0.55000000000000004">
      <c r="B36" t="s">
        <v>22</v>
      </c>
    </row>
    <row r="37" spans="2:8" ht="14.7" thickBot="1" x14ac:dyDescent="0.6"/>
    <row r="38" spans="2:8" x14ac:dyDescent="0.55000000000000004">
      <c r="B38" s="4" t="s">
        <v>23</v>
      </c>
      <c r="C38" s="4"/>
      <c r="D38" s="4"/>
    </row>
    <row r="39" spans="2:8" x14ac:dyDescent="0.55000000000000004">
      <c r="B39" s="1" t="s">
        <v>24</v>
      </c>
      <c r="C39" s="1"/>
      <c r="D39" s="1">
        <v>0.99753693495472684</v>
      </c>
    </row>
    <row r="40" spans="2:8" x14ac:dyDescent="0.55000000000000004">
      <c r="B40" s="1" t="s">
        <v>25</v>
      </c>
      <c r="C40" s="1"/>
      <c r="D40" s="1">
        <v>0.99507993659887095</v>
      </c>
    </row>
    <row r="41" spans="2:8" x14ac:dyDescent="0.55000000000000004">
      <c r="B41" s="1" t="s">
        <v>26</v>
      </c>
      <c r="C41" s="1"/>
      <c r="D41" s="1">
        <v>0.99490422004883061</v>
      </c>
    </row>
    <row r="42" spans="2:8" x14ac:dyDescent="0.55000000000000004">
      <c r="B42" s="1" t="s">
        <v>10</v>
      </c>
      <c r="C42" s="1"/>
      <c r="D42" s="1">
        <v>0.89860978655474455</v>
      </c>
    </row>
    <row r="43" spans="2:8" ht="14.7" thickBot="1" x14ac:dyDescent="0.6">
      <c r="B43" s="2" t="s">
        <v>27</v>
      </c>
      <c r="C43" s="2"/>
      <c r="D43" s="2">
        <v>30</v>
      </c>
    </row>
    <row r="45" spans="2:8" ht="14.7" thickBot="1" x14ac:dyDescent="0.6">
      <c r="B45" t="s">
        <v>28</v>
      </c>
    </row>
    <row r="46" spans="2:8" x14ac:dyDescent="0.55000000000000004">
      <c r="B46" s="3"/>
      <c r="C46" s="3"/>
      <c r="D46" s="3" t="s">
        <v>33</v>
      </c>
      <c r="E46" s="3" t="s">
        <v>34</v>
      </c>
      <c r="F46" s="3" t="s">
        <v>35</v>
      </c>
      <c r="G46" s="3" t="s">
        <v>36</v>
      </c>
      <c r="H46" s="3" t="s">
        <v>37</v>
      </c>
    </row>
    <row r="47" spans="2:8" x14ac:dyDescent="0.55000000000000004">
      <c r="B47" s="1" t="s">
        <v>29</v>
      </c>
      <c r="C47" s="1"/>
      <c r="D47" s="1">
        <v>1</v>
      </c>
      <c r="E47" s="1">
        <v>4572.8566793088921</v>
      </c>
      <c r="F47" s="1">
        <v>4572.8566793088921</v>
      </c>
      <c r="G47" s="1">
        <v>5662.9835742309424</v>
      </c>
      <c r="H47" s="1">
        <v>7.2958096357015877E-34</v>
      </c>
    </row>
    <row r="48" spans="2:8" x14ac:dyDescent="0.55000000000000004">
      <c r="B48" s="1" t="s">
        <v>30</v>
      </c>
      <c r="C48" s="1"/>
      <c r="D48" s="1">
        <v>28</v>
      </c>
      <c r="E48" s="1">
        <v>22.60998735777498</v>
      </c>
      <c r="F48" s="1">
        <v>0.80749954849196359</v>
      </c>
      <c r="G48" s="1"/>
      <c r="H48" s="1"/>
    </row>
    <row r="49" spans="2:11" ht="14.7" thickBot="1" x14ac:dyDescent="0.6">
      <c r="B49" s="2" t="s">
        <v>31</v>
      </c>
      <c r="C49" s="2"/>
      <c r="D49" s="2">
        <v>29</v>
      </c>
      <c r="E49" s="2">
        <v>4595.4666666666672</v>
      </c>
      <c r="F49" s="2"/>
      <c r="G49" s="2"/>
      <c r="H49" s="2"/>
    </row>
    <row r="50" spans="2:11" ht="14.7" thickBot="1" x14ac:dyDescent="0.6"/>
    <row r="51" spans="2:11" x14ac:dyDescent="0.55000000000000004">
      <c r="B51" s="3"/>
      <c r="C51" s="3"/>
      <c r="D51" s="3" t="s">
        <v>38</v>
      </c>
      <c r="E51" s="3" t="s">
        <v>10</v>
      </c>
      <c r="F51" s="3" t="s">
        <v>39</v>
      </c>
      <c r="G51" s="3" t="s">
        <v>40</v>
      </c>
      <c r="H51" s="3" t="s">
        <v>41</v>
      </c>
      <c r="I51" s="3" t="s">
        <v>42</v>
      </c>
      <c r="J51" s="3" t="s">
        <v>43</v>
      </c>
      <c r="K51" s="3" t="s">
        <v>44</v>
      </c>
    </row>
    <row r="52" spans="2:11" x14ac:dyDescent="0.55000000000000004">
      <c r="B52" s="1" t="s">
        <v>32</v>
      </c>
      <c r="C52" s="1"/>
      <c r="D52" s="1">
        <v>42.292878213232186</v>
      </c>
      <c r="E52" s="1">
        <v>0.48368055284132733</v>
      </c>
      <c r="F52" s="1">
        <v>87.439691268932364</v>
      </c>
      <c r="G52" s="1">
        <v>1.1101210457850682E-35</v>
      </c>
      <c r="H52" s="1">
        <v>41.302103514444539</v>
      </c>
      <c r="I52" s="1">
        <v>43.283652912019832</v>
      </c>
      <c r="J52" s="1">
        <v>41.302103514444539</v>
      </c>
      <c r="K52" s="1">
        <v>43.283652912019832</v>
      </c>
    </row>
    <row r="53" spans="2:11" ht="14.7" thickBot="1" x14ac:dyDescent="0.6">
      <c r="B53" s="2" t="s">
        <v>3</v>
      </c>
      <c r="C53" s="2"/>
      <c r="D53" s="2">
        <v>2.1949009692372532</v>
      </c>
      <c r="E53" s="2">
        <v>2.9167034766660934E-2</v>
      </c>
      <c r="F53" s="2">
        <v>75.252797783410983</v>
      </c>
      <c r="G53" s="2">
        <v>7.2958096357014833E-34</v>
      </c>
      <c r="H53" s="2">
        <v>2.1351550069162348</v>
      </c>
      <c r="I53" s="2">
        <v>2.2546469315582716</v>
      </c>
      <c r="J53" s="2">
        <v>2.1351550069162348</v>
      </c>
      <c r="K53" s="2">
        <v>2.2546469315582716</v>
      </c>
    </row>
    <row r="55" spans="2:11" x14ac:dyDescent="0.55000000000000004">
      <c r="B55" t="s">
        <v>45</v>
      </c>
    </row>
    <row r="57" spans="2:11" x14ac:dyDescent="0.55000000000000004">
      <c r="B57" t="s">
        <v>22</v>
      </c>
    </row>
    <row r="58" spans="2:11" ht="14.7" thickBot="1" x14ac:dyDescent="0.6"/>
    <row r="59" spans="2:11" x14ac:dyDescent="0.55000000000000004">
      <c r="B59" s="4" t="s">
        <v>23</v>
      </c>
      <c r="C59" s="4"/>
      <c r="D59" s="4"/>
    </row>
    <row r="60" spans="2:11" x14ac:dyDescent="0.55000000000000004">
      <c r="B60" s="1" t="s">
        <v>24</v>
      </c>
      <c r="C60" s="1"/>
      <c r="D60" s="1">
        <v>0.99804547534029375</v>
      </c>
    </row>
    <row r="61" spans="2:11" x14ac:dyDescent="0.55000000000000004">
      <c r="B61" s="1" t="s">
        <v>25</v>
      </c>
      <c r="C61" s="1"/>
      <c r="D61" s="1">
        <v>0.99609477084723297</v>
      </c>
    </row>
    <row r="62" spans="2:11" x14ac:dyDescent="0.55000000000000004">
      <c r="B62" s="1" t="s">
        <v>26</v>
      </c>
      <c r="C62" s="1"/>
      <c r="D62" s="1">
        <v>0.99579436860471249</v>
      </c>
    </row>
    <row r="63" spans="2:11" x14ac:dyDescent="0.55000000000000004">
      <c r="B63" s="1" t="s">
        <v>10</v>
      </c>
      <c r="C63" s="1"/>
      <c r="D63" s="1">
        <v>0.82397195673909207</v>
      </c>
    </row>
    <row r="64" spans="2:11" ht="14.7" thickBot="1" x14ac:dyDescent="0.6">
      <c r="B64" s="2" t="s">
        <v>27</v>
      </c>
      <c r="C64" s="2"/>
      <c r="D64" s="2">
        <v>29</v>
      </c>
    </row>
    <row r="66" spans="2:11" ht="14.7" thickBot="1" x14ac:dyDescent="0.6">
      <c r="B66" t="s">
        <v>28</v>
      </c>
    </row>
    <row r="67" spans="2:11" x14ac:dyDescent="0.55000000000000004">
      <c r="B67" s="3"/>
      <c r="C67" s="3"/>
      <c r="D67" s="3" t="s">
        <v>33</v>
      </c>
      <c r="E67" s="3" t="s">
        <v>34</v>
      </c>
      <c r="F67" s="3" t="s">
        <v>35</v>
      </c>
      <c r="G67" s="3" t="s">
        <v>36</v>
      </c>
      <c r="H67" s="3" t="s">
        <v>37</v>
      </c>
    </row>
    <row r="68" spans="2:11" x14ac:dyDescent="0.55000000000000004">
      <c r="B68" s="1" t="s">
        <v>29</v>
      </c>
      <c r="C68" s="1"/>
      <c r="D68" s="1">
        <v>2</v>
      </c>
      <c r="E68" s="1">
        <v>4502.485756611678</v>
      </c>
      <c r="F68" s="1">
        <v>2251.242878305839</v>
      </c>
      <c r="G68" s="1">
        <v>3315.8699565271609</v>
      </c>
      <c r="H68" s="1">
        <v>4.9136565228001725E-32</v>
      </c>
    </row>
    <row r="69" spans="2:11" x14ac:dyDescent="0.55000000000000004">
      <c r="B69" s="1" t="s">
        <v>30</v>
      </c>
      <c r="C69" s="1"/>
      <c r="D69" s="1">
        <v>26</v>
      </c>
      <c r="E69" s="1">
        <v>17.652174422803654</v>
      </c>
      <c r="F69" s="1">
        <v>0.6789297854924482</v>
      </c>
      <c r="G69" s="1"/>
      <c r="H69" s="1"/>
    </row>
    <row r="70" spans="2:11" ht="14.7" thickBot="1" x14ac:dyDescent="0.6">
      <c r="B70" s="2" t="s">
        <v>31</v>
      </c>
      <c r="C70" s="2"/>
      <c r="D70" s="2">
        <v>28</v>
      </c>
      <c r="E70" s="2">
        <v>4520.1379310344819</v>
      </c>
      <c r="F70" s="2"/>
      <c r="G70" s="2"/>
      <c r="H70" s="2"/>
    </row>
    <row r="71" spans="2:11" ht="14.7" thickBot="1" x14ac:dyDescent="0.6"/>
    <row r="72" spans="2:11" x14ac:dyDescent="0.55000000000000004">
      <c r="B72" s="3"/>
      <c r="C72" s="3"/>
      <c r="D72" s="3" t="s">
        <v>38</v>
      </c>
      <c r="E72" s="3" t="s">
        <v>10</v>
      </c>
      <c r="F72" s="3" t="s">
        <v>39</v>
      </c>
      <c r="G72" s="3" t="s">
        <v>40</v>
      </c>
      <c r="H72" s="3" t="s">
        <v>41</v>
      </c>
      <c r="I72" s="3" t="s">
        <v>42</v>
      </c>
      <c r="J72" s="3" t="s">
        <v>43</v>
      </c>
      <c r="K72" s="3" t="s">
        <v>44</v>
      </c>
    </row>
    <row r="73" spans="2:11" x14ac:dyDescent="0.55000000000000004">
      <c r="B73" s="1" t="s">
        <v>32</v>
      </c>
      <c r="C73" s="1"/>
      <c r="D73" s="1">
        <v>18.249628333856997</v>
      </c>
      <c r="E73" s="1">
        <v>9.3332427143322771</v>
      </c>
      <c r="F73" s="1">
        <v>1.9553363061942635</v>
      </c>
      <c r="G73" s="1">
        <v>6.1371718751281563E-2</v>
      </c>
      <c r="H73" s="1">
        <v>-0.93512682345211218</v>
      </c>
      <c r="I73" s="1">
        <v>37.434383491166102</v>
      </c>
      <c r="J73" s="1">
        <v>-0.93512682345211218</v>
      </c>
      <c r="K73" s="1">
        <v>37.434383491166102</v>
      </c>
    </row>
    <row r="74" spans="2:11" x14ac:dyDescent="0.55000000000000004">
      <c r="B74" s="1">
        <v>12</v>
      </c>
      <c r="C74" s="1"/>
      <c r="D74" s="1">
        <v>1.634339137734548</v>
      </c>
      <c r="E74" s="1">
        <v>0.217497794619429</v>
      </c>
      <c r="F74" s="1">
        <v>7.5142791245045251</v>
      </c>
      <c r="G74" s="1">
        <v>5.6082169621950634E-8</v>
      </c>
      <c r="H74" s="1">
        <v>1.1872660180544101</v>
      </c>
      <c r="I74" s="1">
        <v>2.0814122574146858</v>
      </c>
      <c r="J74" s="1">
        <v>1.1872660180544101</v>
      </c>
      <c r="K74" s="1">
        <v>2.0814122574146858</v>
      </c>
    </row>
    <row r="75" spans="2:11" ht="14.7" thickBot="1" x14ac:dyDescent="0.6">
      <c r="B75" s="2">
        <v>85</v>
      </c>
      <c r="C75" s="2"/>
      <c r="D75" s="2">
        <v>0.38003273475934368</v>
      </c>
      <c r="E75" s="2">
        <v>0.14697660769226628</v>
      </c>
      <c r="F75" s="2">
        <v>2.5856681598954916</v>
      </c>
      <c r="G75" s="2">
        <v>1.5677116363797882E-2</v>
      </c>
      <c r="H75" s="2">
        <v>7.7917990856025798E-2</v>
      </c>
      <c r="I75" s="2">
        <v>0.68214747866266157</v>
      </c>
      <c r="J75" s="2">
        <v>7.7917990856025798E-2</v>
      </c>
      <c r="K75" s="2">
        <v>0.68214747866266157</v>
      </c>
    </row>
    <row r="77" spans="2:11" x14ac:dyDescent="0.55000000000000004">
      <c r="B77" t="s">
        <v>46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1C29-5E85-4C6B-9D28-BD8B14EF801D}">
  <dimension ref="A2:J53"/>
  <sheetViews>
    <sheetView topLeftCell="A38" workbookViewId="0">
      <selection activeCell="P28" sqref="P28"/>
    </sheetView>
  </sheetViews>
  <sheetFormatPr defaultRowHeight="14.4" x14ac:dyDescent="0.55000000000000004"/>
  <sheetData>
    <row r="2" spans="1:8" x14ac:dyDescent="0.55000000000000004">
      <c r="A2" t="s">
        <v>0</v>
      </c>
      <c r="B2" t="s">
        <v>1</v>
      </c>
      <c r="C2" t="s">
        <v>47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55000000000000004">
      <c r="A3">
        <v>1</v>
      </c>
      <c r="B3">
        <v>22</v>
      </c>
      <c r="C3">
        <f>IF(D3="software",1,0)</f>
        <v>0</v>
      </c>
      <c r="D3" t="s">
        <v>7</v>
      </c>
      <c r="E3">
        <v>12</v>
      </c>
      <c r="F3">
        <v>85</v>
      </c>
      <c r="G3">
        <v>68</v>
      </c>
      <c r="H3">
        <v>3</v>
      </c>
    </row>
    <row r="4" spans="1:8" x14ac:dyDescent="0.55000000000000004">
      <c r="A4">
        <v>2</v>
      </c>
      <c r="B4">
        <v>29</v>
      </c>
      <c r="C4">
        <f>IF(D4="software",1,0)</f>
        <v>1</v>
      </c>
      <c r="D4" t="s">
        <v>8</v>
      </c>
      <c r="E4">
        <v>20</v>
      </c>
      <c r="F4">
        <v>95</v>
      </c>
      <c r="G4">
        <v>88</v>
      </c>
      <c r="H4">
        <v>5</v>
      </c>
    </row>
    <row r="5" spans="1:8" x14ac:dyDescent="0.55000000000000004">
      <c r="A5">
        <v>3</v>
      </c>
      <c r="B5">
        <v>24</v>
      </c>
      <c r="C5">
        <f>IF(D6="software",1,0)</f>
        <v>1</v>
      </c>
      <c r="D5" t="s">
        <v>7</v>
      </c>
      <c r="E5">
        <v>8</v>
      </c>
      <c r="F5">
        <v>75</v>
      </c>
      <c r="G5">
        <v>60</v>
      </c>
      <c r="H5">
        <v>3</v>
      </c>
    </row>
    <row r="6" spans="1:8" x14ac:dyDescent="0.55000000000000004">
      <c r="A6">
        <v>4</v>
      </c>
      <c r="B6">
        <v>31</v>
      </c>
      <c r="C6">
        <f>IF(D7="software",1,0)</f>
        <v>0</v>
      </c>
      <c r="D6" t="s">
        <v>8</v>
      </c>
      <c r="E6">
        <v>18</v>
      </c>
      <c r="F6">
        <v>90</v>
      </c>
      <c r="G6">
        <v>82</v>
      </c>
      <c r="H6">
        <v>4</v>
      </c>
    </row>
    <row r="7" spans="1:8" x14ac:dyDescent="0.55000000000000004">
      <c r="A7">
        <v>5</v>
      </c>
      <c r="B7">
        <v>27</v>
      </c>
      <c r="C7">
        <f>IF(D8="software",1,0)</f>
        <v>1</v>
      </c>
      <c r="D7" t="s">
        <v>7</v>
      </c>
      <c r="E7">
        <v>15</v>
      </c>
      <c r="F7">
        <v>88</v>
      </c>
      <c r="G7">
        <v>75</v>
      </c>
      <c r="H7">
        <v>4</v>
      </c>
    </row>
    <row r="8" spans="1:8" x14ac:dyDescent="0.55000000000000004">
      <c r="A8">
        <v>6</v>
      </c>
      <c r="B8">
        <v>34</v>
      </c>
      <c r="C8">
        <f>IF(D9="software",1,0)</f>
        <v>0</v>
      </c>
      <c r="D8" t="s">
        <v>8</v>
      </c>
      <c r="E8">
        <v>22</v>
      </c>
      <c r="F8">
        <v>96</v>
      </c>
      <c r="G8">
        <v>91</v>
      </c>
      <c r="H8">
        <v>5</v>
      </c>
    </row>
    <row r="9" spans="1:8" x14ac:dyDescent="0.55000000000000004">
      <c r="A9">
        <v>7</v>
      </c>
      <c r="B9">
        <v>21</v>
      </c>
      <c r="C9">
        <f>IF(D10="software",1,0)</f>
        <v>1</v>
      </c>
      <c r="D9" t="s">
        <v>7</v>
      </c>
      <c r="E9">
        <v>6</v>
      </c>
      <c r="F9">
        <v>70</v>
      </c>
      <c r="G9">
        <v>55</v>
      </c>
      <c r="H9">
        <v>2</v>
      </c>
    </row>
    <row r="10" spans="1:8" x14ac:dyDescent="0.55000000000000004">
      <c r="A10">
        <v>8</v>
      </c>
      <c r="B10">
        <v>30</v>
      </c>
      <c r="C10">
        <f>IF(D11="software",1,0)</f>
        <v>0</v>
      </c>
      <c r="D10" t="s">
        <v>8</v>
      </c>
      <c r="E10">
        <v>17</v>
      </c>
      <c r="F10">
        <v>89</v>
      </c>
      <c r="G10">
        <v>80</v>
      </c>
      <c r="H10">
        <v>4</v>
      </c>
    </row>
    <row r="11" spans="1:8" x14ac:dyDescent="0.55000000000000004">
      <c r="A11">
        <v>9</v>
      </c>
      <c r="B11">
        <v>26</v>
      </c>
      <c r="C11">
        <f>IF(D12="software",1,0)</f>
        <v>1</v>
      </c>
      <c r="D11" t="s">
        <v>7</v>
      </c>
      <c r="E11">
        <v>14</v>
      </c>
      <c r="F11">
        <v>84</v>
      </c>
      <c r="G11">
        <v>72</v>
      </c>
      <c r="H11">
        <v>4</v>
      </c>
    </row>
    <row r="12" spans="1:8" x14ac:dyDescent="0.55000000000000004">
      <c r="A12">
        <v>10</v>
      </c>
      <c r="B12">
        <v>28</v>
      </c>
      <c r="C12">
        <f>IF(D13="software",1,0)</f>
        <v>0</v>
      </c>
      <c r="D12" t="s">
        <v>8</v>
      </c>
      <c r="E12">
        <v>19</v>
      </c>
      <c r="F12">
        <v>92</v>
      </c>
      <c r="G12">
        <v>85</v>
      </c>
      <c r="H12">
        <v>5</v>
      </c>
    </row>
    <row r="13" spans="1:8" x14ac:dyDescent="0.55000000000000004">
      <c r="A13">
        <v>11</v>
      </c>
      <c r="B13">
        <v>23</v>
      </c>
      <c r="C13">
        <f>IF(D14="software",1,0)</f>
        <v>1</v>
      </c>
      <c r="D13" t="s">
        <v>7</v>
      </c>
      <c r="E13">
        <v>10</v>
      </c>
      <c r="F13">
        <v>78</v>
      </c>
      <c r="G13">
        <v>65</v>
      </c>
      <c r="H13">
        <v>3</v>
      </c>
    </row>
    <row r="14" spans="1:8" x14ac:dyDescent="0.55000000000000004">
      <c r="A14">
        <v>12</v>
      </c>
      <c r="B14">
        <v>35</v>
      </c>
      <c r="C14">
        <f>IF(D15="software",1,0)</f>
        <v>0</v>
      </c>
      <c r="D14" t="s">
        <v>8</v>
      </c>
      <c r="E14">
        <v>24</v>
      </c>
      <c r="F14">
        <v>97</v>
      </c>
      <c r="G14">
        <v>94</v>
      </c>
      <c r="H14">
        <v>5</v>
      </c>
    </row>
    <row r="15" spans="1:8" x14ac:dyDescent="0.55000000000000004">
      <c r="A15">
        <v>13</v>
      </c>
      <c r="B15">
        <v>25</v>
      </c>
      <c r="C15">
        <f>IF(D16="software",1,0)</f>
        <v>1</v>
      </c>
      <c r="D15" t="s">
        <v>7</v>
      </c>
      <c r="E15">
        <v>9</v>
      </c>
      <c r="F15">
        <v>76</v>
      </c>
      <c r="G15">
        <v>63</v>
      </c>
      <c r="H15">
        <v>3</v>
      </c>
    </row>
    <row r="16" spans="1:8" x14ac:dyDescent="0.55000000000000004">
      <c r="A16">
        <v>14</v>
      </c>
      <c r="B16">
        <v>32</v>
      </c>
      <c r="C16">
        <f>IF(D17="software",1,0)</f>
        <v>0</v>
      </c>
      <c r="D16" t="s">
        <v>8</v>
      </c>
      <c r="E16">
        <v>21</v>
      </c>
      <c r="F16">
        <v>94</v>
      </c>
      <c r="G16">
        <v>89</v>
      </c>
      <c r="H16">
        <v>5</v>
      </c>
    </row>
    <row r="17" spans="1:8" x14ac:dyDescent="0.55000000000000004">
      <c r="A17">
        <v>15</v>
      </c>
      <c r="B17">
        <v>24</v>
      </c>
      <c r="C17">
        <f>IF(D18="software",1,0)</f>
        <v>1</v>
      </c>
      <c r="D17" t="s">
        <v>7</v>
      </c>
      <c r="E17">
        <v>11</v>
      </c>
      <c r="F17">
        <v>80</v>
      </c>
      <c r="G17">
        <v>67</v>
      </c>
      <c r="H17">
        <v>3</v>
      </c>
    </row>
    <row r="18" spans="1:8" x14ac:dyDescent="0.55000000000000004">
      <c r="A18">
        <v>16</v>
      </c>
      <c r="B18">
        <v>29</v>
      </c>
      <c r="C18">
        <f>IF(D19="software",1,0)</f>
        <v>0</v>
      </c>
      <c r="D18" t="s">
        <v>8</v>
      </c>
      <c r="E18">
        <v>16</v>
      </c>
      <c r="F18">
        <v>87</v>
      </c>
      <c r="G18">
        <v>78</v>
      </c>
      <c r="H18">
        <v>4</v>
      </c>
    </row>
    <row r="19" spans="1:8" x14ac:dyDescent="0.55000000000000004">
      <c r="A19">
        <v>17</v>
      </c>
      <c r="B19">
        <v>27</v>
      </c>
      <c r="C19">
        <f>IF(D20="software",1,0)</f>
        <v>1</v>
      </c>
      <c r="D19" t="s">
        <v>7</v>
      </c>
      <c r="E19">
        <v>13</v>
      </c>
      <c r="F19">
        <v>82</v>
      </c>
      <c r="G19">
        <v>70</v>
      </c>
      <c r="H19">
        <v>4</v>
      </c>
    </row>
    <row r="20" spans="1:8" x14ac:dyDescent="0.55000000000000004">
      <c r="A20">
        <v>18</v>
      </c>
      <c r="B20">
        <v>33</v>
      </c>
      <c r="C20">
        <f>IF(D21="software",1,0)</f>
        <v>0</v>
      </c>
      <c r="D20" t="s">
        <v>8</v>
      </c>
      <c r="E20">
        <v>23</v>
      </c>
      <c r="F20">
        <v>96</v>
      </c>
      <c r="G20">
        <v>92</v>
      </c>
      <c r="H20">
        <v>5</v>
      </c>
    </row>
    <row r="21" spans="1:8" x14ac:dyDescent="0.55000000000000004">
      <c r="A21">
        <v>19</v>
      </c>
      <c r="B21">
        <v>22</v>
      </c>
      <c r="C21">
        <f>IF(D22="software",1,0)</f>
        <v>1</v>
      </c>
      <c r="D21" t="s">
        <v>7</v>
      </c>
      <c r="E21">
        <v>7</v>
      </c>
      <c r="F21">
        <v>73</v>
      </c>
      <c r="G21">
        <v>58</v>
      </c>
      <c r="H21">
        <v>2</v>
      </c>
    </row>
    <row r="22" spans="1:8" x14ac:dyDescent="0.55000000000000004">
      <c r="A22">
        <v>20</v>
      </c>
      <c r="B22">
        <v>31</v>
      </c>
      <c r="C22">
        <f>IF(D23="software",1,0)</f>
        <v>0</v>
      </c>
      <c r="D22" t="s">
        <v>8</v>
      </c>
      <c r="E22">
        <v>18</v>
      </c>
      <c r="F22">
        <v>91</v>
      </c>
      <c r="G22">
        <v>84</v>
      </c>
      <c r="H22">
        <v>4</v>
      </c>
    </row>
    <row r="23" spans="1:8" x14ac:dyDescent="0.55000000000000004">
      <c r="A23">
        <v>21</v>
      </c>
      <c r="B23">
        <v>26</v>
      </c>
      <c r="C23">
        <f>IF(D24="software",1,0)</f>
        <v>1</v>
      </c>
      <c r="D23" t="s">
        <v>7</v>
      </c>
      <c r="E23">
        <v>14</v>
      </c>
      <c r="F23">
        <v>85</v>
      </c>
      <c r="G23">
        <v>73</v>
      </c>
      <c r="H23">
        <v>4</v>
      </c>
    </row>
    <row r="24" spans="1:8" x14ac:dyDescent="0.55000000000000004">
      <c r="A24">
        <v>22</v>
      </c>
      <c r="B24">
        <v>34</v>
      </c>
      <c r="C24">
        <f>IF(D25="software",1,0)</f>
        <v>0</v>
      </c>
      <c r="D24" t="s">
        <v>8</v>
      </c>
      <c r="E24">
        <v>22</v>
      </c>
      <c r="F24">
        <v>95</v>
      </c>
      <c r="G24">
        <v>90</v>
      </c>
      <c r="H24">
        <v>5</v>
      </c>
    </row>
    <row r="25" spans="1:8" x14ac:dyDescent="0.55000000000000004">
      <c r="A25">
        <v>23</v>
      </c>
      <c r="B25">
        <v>23</v>
      </c>
      <c r="C25">
        <f>IF(D26="software",1,0)</f>
        <v>1</v>
      </c>
      <c r="D25" t="s">
        <v>7</v>
      </c>
      <c r="E25">
        <v>9</v>
      </c>
      <c r="F25">
        <v>77</v>
      </c>
      <c r="G25">
        <v>62</v>
      </c>
      <c r="H25">
        <v>3</v>
      </c>
    </row>
    <row r="26" spans="1:8" x14ac:dyDescent="0.55000000000000004">
      <c r="A26">
        <v>24</v>
      </c>
      <c r="B26">
        <v>30</v>
      </c>
      <c r="C26">
        <f>IF(D27="software",1,0)</f>
        <v>0</v>
      </c>
      <c r="D26" t="s">
        <v>8</v>
      </c>
      <c r="E26">
        <v>20</v>
      </c>
      <c r="F26">
        <v>93</v>
      </c>
      <c r="G26">
        <v>86</v>
      </c>
      <c r="H26">
        <v>5</v>
      </c>
    </row>
    <row r="27" spans="1:8" x14ac:dyDescent="0.55000000000000004">
      <c r="A27">
        <v>25</v>
      </c>
      <c r="B27">
        <v>28</v>
      </c>
      <c r="C27">
        <f>IF(D28="software",1,0)</f>
        <v>1</v>
      </c>
      <c r="D27" t="s">
        <v>7</v>
      </c>
      <c r="E27">
        <v>15</v>
      </c>
      <c r="F27">
        <v>86</v>
      </c>
      <c r="G27">
        <v>74</v>
      </c>
      <c r="H27">
        <v>4</v>
      </c>
    </row>
    <row r="28" spans="1:8" x14ac:dyDescent="0.55000000000000004">
      <c r="A28">
        <v>26</v>
      </c>
      <c r="B28">
        <v>35</v>
      </c>
      <c r="C28">
        <f>IF(D29="software",1,0)</f>
        <v>0</v>
      </c>
      <c r="D28" t="s">
        <v>8</v>
      </c>
      <c r="E28">
        <v>25</v>
      </c>
      <c r="F28">
        <v>98</v>
      </c>
      <c r="G28">
        <v>96</v>
      </c>
      <c r="H28">
        <v>5</v>
      </c>
    </row>
    <row r="29" spans="1:8" x14ac:dyDescent="0.55000000000000004">
      <c r="A29">
        <v>27</v>
      </c>
      <c r="B29">
        <v>21</v>
      </c>
      <c r="C29">
        <f>IF(D30="software",1,0)</f>
        <v>1</v>
      </c>
      <c r="D29" t="s">
        <v>7</v>
      </c>
      <c r="E29">
        <v>6</v>
      </c>
      <c r="F29">
        <v>72</v>
      </c>
      <c r="G29">
        <v>54</v>
      </c>
      <c r="H29">
        <v>2</v>
      </c>
    </row>
    <row r="30" spans="1:8" x14ac:dyDescent="0.55000000000000004">
      <c r="A30">
        <v>28</v>
      </c>
      <c r="B30">
        <v>32</v>
      </c>
      <c r="C30">
        <f>IF(D31="software",1,0)</f>
        <v>0</v>
      </c>
      <c r="D30" t="s">
        <v>8</v>
      </c>
      <c r="E30">
        <v>19</v>
      </c>
      <c r="F30">
        <v>92</v>
      </c>
      <c r="G30">
        <v>83</v>
      </c>
      <c r="H30">
        <v>4</v>
      </c>
    </row>
    <row r="31" spans="1:8" x14ac:dyDescent="0.55000000000000004">
      <c r="A31">
        <v>29</v>
      </c>
      <c r="B31">
        <v>25</v>
      </c>
      <c r="C31">
        <f>IF(D32="software",1,0)</f>
        <v>1</v>
      </c>
      <c r="D31" t="s">
        <v>7</v>
      </c>
      <c r="E31">
        <v>12</v>
      </c>
      <c r="F31">
        <v>81</v>
      </c>
      <c r="G31">
        <v>69</v>
      </c>
      <c r="H31">
        <v>3</v>
      </c>
    </row>
    <row r="32" spans="1:8" x14ac:dyDescent="0.55000000000000004">
      <c r="A32">
        <v>30</v>
      </c>
      <c r="B32">
        <v>33</v>
      </c>
      <c r="D32" t="s">
        <v>8</v>
      </c>
      <c r="E32">
        <v>23</v>
      </c>
      <c r="F32">
        <v>97</v>
      </c>
      <c r="G32">
        <v>93</v>
      </c>
      <c r="H32">
        <v>5</v>
      </c>
    </row>
    <row r="35" spans="2:7" x14ac:dyDescent="0.55000000000000004">
      <c r="B35" t="s">
        <v>22</v>
      </c>
    </row>
    <row r="36" spans="2:7" ht="14.7" thickBot="1" x14ac:dyDescent="0.6"/>
    <row r="37" spans="2:7" x14ac:dyDescent="0.55000000000000004">
      <c r="B37" s="4" t="s">
        <v>23</v>
      </c>
      <c r="C37" s="4"/>
    </row>
    <row r="38" spans="2:7" x14ac:dyDescent="0.55000000000000004">
      <c r="B38" s="1" t="s">
        <v>24</v>
      </c>
      <c r="C38" s="1">
        <v>0.99804547534029375</v>
      </c>
    </row>
    <row r="39" spans="2:7" x14ac:dyDescent="0.55000000000000004">
      <c r="B39" s="1" t="s">
        <v>25</v>
      </c>
      <c r="C39" s="1">
        <v>0.99609477084723297</v>
      </c>
    </row>
    <row r="40" spans="2:7" x14ac:dyDescent="0.55000000000000004">
      <c r="B40" s="1" t="s">
        <v>26</v>
      </c>
      <c r="C40" s="1">
        <v>0.99579436860471249</v>
      </c>
    </row>
    <row r="41" spans="2:7" x14ac:dyDescent="0.55000000000000004">
      <c r="B41" s="1" t="s">
        <v>10</v>
      </c>
      <c r="C41" s="1">
        <v>0.82397195673909207</v>
      </c>
    </row>
    <row r="42" spans="2:7" ht="14.7" thickBot="1" x14ac:dyDescent="0.6">
      <c r="B42" s="2" t="s">
        <v>27</v>
      </c>
      <c r="C42" s="2">
        <v>29</v>
      </c>
    </row>
    <row r="44" spans="2:7" ht="14.7" thickBot="1" x14ac:dyDescent="0.6">
      <c r="B44" t="s">
        <v>28</v>
      </c>
    </row>
    <row r="45" spans="2:7" x14ac:dyDescent="0.55000000000000004">
      <c r="B45" s="3"/>
      <c r="C45" s="3" t="s">
        <v>33</v>
      </c>
      <c r="D45" s="3" t="s">
        <v>34</v>
      </c>
      <c r="E45" s="3" t="s">
        <v>35</v>
      </c>
      <c r="F45" s="3" t="s">
        <v>36</v>
      </c>
      <c r="G45" s="3" t="s">
        <v>37</v>
      </c>
    </row>
    <row r="46" spans="2:7" x14ac:dyDescent="0.55000000000000004">
      <c r="B46" s="1" t="s">
        <v>29</v>
      </c>
      <c r="C46" s="1">
        <v>2</v>
      </c>
      <c r="D46" s="1">
        <v>4502.485756611678</v>
      </c>
      <c r="E46" s="1">
        <v>2251.242878305839</v>
      </c>
      <c r="F46" s="1">
        <v>3315.8699565271609</v>
      </c>
      <c r="G46" s="1">
        <v>4.9136565228001725E-32</v>
      </c>
    </row>
    <row r="47" spans="2:7" x14ac:dyDescent="0.55000000000000004">
      <c r="B47" s="1" t="s">
        <v>30</v>
      </c>
      <c r="C47" s="1">
        <v>26</v>
      </c>
      <c r="D47" s="1">
        <v>17.652174422803654</v>
      </c>
      <c r="E47" s="1">
        <v>0.6789297854924482</v>
      </c>
      <c r="F47" s="1"/>
      <c r="G47" s="1"/>
    </row>
    <row r="48" spans="2:7" ht="14.7" thickBot="1" x14ac:dyDescent="0.6">
      <c r="B48" s="2" t="s">
        <v>31</v>
      </c>
      <c r="C48" s="2">
        <v>28</v>
      </c>
      <c r="D48" s="2">
        <v>4520.1379310344819</v>
      </c>
      <c r="E48" s="2"/>
      <c r="F48" s="2"/>
      <c r="G48" s="2"/>
    </row>
    <row r="49" spans="2:10" ht="14.7" thickBot="1" x14ac:dyDescent="0.6"/>
    <row r="50" spans="2:10" x14ac:dyDescent="0.55000000000000004">
      <c r="B50" s="3"/>
      <c r="C50" s="3" t="s">
        <v>38</v>
      </c>
      <c r="D50" s="3" t="s">
        <v>10</v>
      </c>
      <c r="E50" s="3" t="s">
        <v>39</v>
      </c>
      <c r="F50" s="3" t="s">
        <v>40</v>
      </c>
      <c r="G50" s="3" t="s">
        <v>41</v>
      </c>
      <c r="H50" s="3" t="s">
        <v>42</v>
      </c>
      <c r="I50" s="3" t="s">
        <v>43</v>
      </c>
      <c r="J50" s="3" t="s">
        <v>44</v>
      </c>
    </row>
    <row r="51" spans="2:10" x14ac:dyDescent="0.55000000000000004">
      <c r="B51" s="1" t="s">
        <v>32</v>
      </c>
      <c r="C51" s="1">
        <v>18.249628333856997</v>
      </c>
      <c r="D51" s="1">
        <v>9.3332427143322771</v>
      </c>
      <c r="E51" s="1">
        <v>1.9553363061942635</v>
      </c>
      <c r="F51" s="1">
        <v>6.1371718751281563E-2</v>
      </c>
      <c r="G51" s="1">
        <v>-0.93512682345211218</v>
      </c>
      <c r="H51" s="1">
        <v>37.434383491166102</v>
      </c>
      <c r="I51" s="1">
        <v>-0.93512682345211218</v>
      </c>
      <c r="J51" s="1">
        <v>37.434383491166102</v>
      </c>
    </row>
    <row r="52" spans="2:10" x14ac:dyDescent="0.55000000000000004">
      <c r="B52" s="1">
        <v>12</v>
      </c>
      <c r="C52" s="1">
        <v>1.634339137734548</v>
      </c>
      <c r="D52" s="1">
        <v>0.217497794619429</v>
      </c>
      <c r="E52" s="1">
        <v>7.5142791245045251</v>
      </c>
      <c r="F52" s="1">
        <v>5.6082169621950634E-8</v>
      </c>
      <c r="G52" s="1">
        <v>1.1872660180544101</v>
      </c>
      <c r="H52" s="1">
        <v>2.0814122574146858</v>
      </c>
      <c r="I52" s="1">
        <v>1.1872660180544101</v>
      </c>
      <c r="J52" s="1">
        <v>2.0814122574146858</v>
      </c>
    </row>
    <row r="53" spans="2:10" ht="14.7" thickBot="1" x14ac:dyDescent="0.6">
      <c r="B53" s="2">
        <v>85</v>
      </c>
      <c r="C53" s="2">
        <v>0.38003273475934368</v>
      </c>
      <c r="D53" s="2">
        <v>0.14697660769226628</v>
      </c>
      <c r="E53" s="2">
        <v>2.5856681598954916</v>
      </c>
      <c r="F53" s="2">
        <v>1.5677116363797882E-2</v>
      </c>
      <c r="G53" s="2">
        <v>7.7917990856025798E-2</v>
      </c>
      <c r="H53" s="2">
        <v>0.68214747866266157</v>
      </c>
      <c r="I53" s="2">
        <v>7.7917990856025798E-2</v>
      </c>
      <c r="J53" s="2">
        <v>0.68214747866266157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B6C5-466E-4CD9-8915-7536955F6B68}">
  <dimension ref="A1:I53"/>
  <sheetViews>
    <sheetView tabSelected="1" topLeftCell="A31" workbookViewId="0">
      <selection activeCell="E55" sqref="E55"/>
    </sheetView>
  </sheetViews>
  <sheetFormatPr defaultRowHeight="14.4" x14ac:dyDescent="0.55000000000000004"/>
  <sheetData>
    <row r="1" spans="1:9" x14ac:dyDescent="0.55000000000000004">
      <c r="A1" t="s">
        <v>22</v>
      </c>
    </row>
    <row r="2" spans="1:9" ht="14.7" thickBot="1" x14ac:dyDescent="0.6"/>
    <row r="3" spans="1:9" x14ac:dyDescent="0.55000000000000004">
      <c r="A3" s="4" t="s">
        <v>23</v>
      </c>
      <c r="B3" s="4"/>
    </row>
    <row r="4" spans="1:9" x14ac:dyDescent="0.55000000000000004">
      <c r="A4" s="1" t="s">
        <v>24</v>
      </c>
      <c r="B4" s="1">
        <v>0.99754226689394698</v>
      </c>
    </row>
    <row r="5" spans="1:9" x14ac:dyDescent="0.55000000000000004">
      <c r="A5" s="1" t="s">
        <v>25</v>
      </c>
      <c r="B5" s="1">
        <v>0.99509057423991465</v>
      </c>
    </row>
    <row r="6" spans="1:9" x14ac:dyDescent="0.55000000000000004">
      <c r="A6" s="1" t="s">
        <v>26</v>
      </c>
      <c r="B6" s="1">
        <v>0.99490874365620785</v>
      </c>
    </row>
    <row r="7" spans="1:9" x14ac:dyDescent="0.55000000000000004">
      <c r="A7" s="1" t="s">
        <v>10</v>
      </c>
      <c r="B7" s="1">
        <v>0.90658663040855725</v>
      </c>
    </row>
    <row r="8" spans="1:9" ht="14.7" thickBot="1" x14ac:dyDescent="0.6">
      <c r="A8" s="2" t="s">
        <v>27</v>
      </c>
      <c r="B8" s="2">
        <v>29</v>
      </c>
    </row>
    <row r="10" spans="1:9" ht="14.7" thickBot="1" x14ac:dyDescent="0.6">
      <c r="A10" t="s">
        <v>28</v>
      </c>
    </row>
    <row r="11" spans="1:9" x14ac:dyDescent="0.55000000000000004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55000000000000004">
      <c r="A12" s="1" t="s">
        <v>29</v>
      </c>
      <c r="B12" s="1">
        <v>1</v>
      </c>
      <c r="C12" s="1">
        <v>4497.9466494367225</v>
      </c>
      <c r="D12" s="1">
        <v>4497.9466494367225</v>
      </c>
      <c r="E12" s="1">
        <v>5472.6248684551956</v>
      </c>
      <c r="F12" s="1">
        <v>1.028364557374756E-32</v>
      </c>
    </row>
    <row r="13" spans="1:9" x14ac:dyDescent="0.55000000000000004">
      <c r="A13" s="1" t="s">
        <v>30</v>
      </c>
      <c r="B13" s="1">
        <v>27</v>
      </c>
      <c r="C13" s="1">
        <v>22.191281597759634</v>
      </c>
      <c r="D13" s="1">
        <v>0.82189931843554198</v>
      </c>
      <c r="E13" s="1"/>
      <c r="F13" s="1"/>
    </row>
    <row r="14" spans="1:9" ht="14.7" thickBot="1" x14ac:dyDescent="0.6">
      <c r="A14" s="2" t="s">
        <v>31</v>
      </c>
      <c r="B14" s="2">
        <v>28</v>
      </c>
      <c r="C14" s="2">
        <v>4520.1379310344819</v>
      </c>
      <c r="D14" s="2"/>
      <c r="E14" s="2"/>
      <c r="F14" s="2"/>
    </row>
    <row r="15" spans="1:9" ht="14.7" thickBot="1" x14ac:dyDescent="0.6"/>
    <row r="16" spans="1:9" x14ac:dyDescent="0.55000000000000004">
      <c r="A16" s="3"/>
      <c r="B16" s="3" t="s">
        <v>38</v>
      </c>
      <c r="C16" s="3" t="s">
        <v>10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55000000000000004">
      <c r="A17" s="1" t="s">
        <v>32</v>
      </c>
      <c r="B17" s="1">
        <v>42.354189697103678</v>
      </c>
      <c r="C17" s="1">
        <v>0.49547721838107645</v>
      </c>
      <c r="D17" s="1">
        <v>85.481608691297382</v>
      </c>
      <c r="E17" s="1">
        <v>2.1096369928473474E-34</v>
      </c>
      <c r="F17" s="1">
        <v>41.337554420208619</v>
      </c>
      <c r="G17" s="1">
        <v>43.370824973998737</v>
      </c>
      <c r="H17" s="1">
        <v>41.337554420208619</v>
      </c>
      <c r="I17" s="1">
        <v>43.370824973998737</v>
      </c>
    </row>
    <row r="18" spans="1:9" ht="14.7" thickBot="1" x14ac:dyDescent="0.6">
      <c r="A18" s="2">
        <v>12</v>
      </c>
      <c r="B18" s="2">
        <v>2.1923870587368279</v>
      </c>
      <c r="C18" s="2">
        <v>2.9635986620138496E-2</v>
      </c>
      <c r="D18" s="2">
        <v>73.977191542090878</v>
      </c>
      <c r="E18" s="2">
        <v>1.028364557374756E-32</v>
      </c>
      <c r="F18" s="2">
        <v>2.1315790370036263</v>
      </c>
      <c r="G18" s="2">
        <v>2.2531950804700296</v>
      </c>
      <c r="H18" s="2">
        <v>2.1315790370036263</v>
      </c>
      <c r="I18" s="2">
        <v>2.2531950804700296</v>
      </c>
    </row>
    <row r="22" spans="1:9" x14ac:dyDescent="0.55000000000000004">
      <c r="A22" t="s">
        <v>50</v>
      </c>
      <c r="F22" t="s">
        <v>54</v>
      </c>
    </row>
    <row r="23" spans="1:9" ht="14.7" thickBot="1" x14ac:dyDescent="0.6"/>
    <row r="24" spans="1:9" x14ac:dyDescent="0.55000000000000004">
      <c r="A24" s="3" t="s">
        <v>51</v>
      </c>
      <c r="B24" s="3" t="s">
        <v>53</v>
      </c>
      <c r="C24" s="3" t="s">
        <v>52</v>
      </c>
      <c r="D24" s="3" t="s">
        <v>56</v>
      </c>
      <c r="F24" s="3" t="s">
        <v>55</v>
      </c>
      <c r="G24" s="3">
        <v>68</v>
      </c>
    </row>
    <row r="25" spans="1:9" x14ac:dyDescent="0.55000000000000004">
      <c r="A25" s="1">
        <v>1</v>
      </c>
      <c r="B25" s="1">
        <v>86.201930871840233</v>
      </c>
      <c r="C25" s="1">
        <v>1.7980691281597672</v>
      </c>
      <c r="D25" s="1">
        <v>2.0197341466644674</v>
      </c>
      <c r="F25" s="1">
        <v>1.7241379310344827</v>
      </c>
      <c r="G25" s="1">
        <v>54</v>
      </c>
    </row>
    <row r="26" spans="1:9" x14ac:dyDescent="0.55000000000000004">
      <c r="A26" s="1">
        <v>2</v>
      </c>
      <c r="B26" s="1">
        <v>59.893286166998301</v>
      </c>
      <c r="C26" s="1">
        <v>0.10671383300169879</v>
      </c>
      <c r="D26" s="1">
        <v>0.11986945833143149</v>
      </c>
      <c r="F26" s="1">
        <v>5.1724137931034484</v>
      </c>
      <c r="G26" s="1">
        <v>55</v>
      </c>
    </row>
    <row r="27" spans="1:9" x14ac:dyDescent="0.55000000000000004">
      <c r="A27" s="1">
        <v>3</v>
      </c>
      <c r="B27" s="1">
        <v>81.817156754366579</v>
      </c>
      <c r="C27" s="1">
        <v>0.18284324563342125</v>
      </c>
      <c r="D27" s="1">
        <v>0.20538406500017836</v>
      </c>
      <c r="F27" s="1">
        <v>8.6206896551724128</v>
      </c>
      <c r="G27" s="1">
        <v>58</v>
      </c>
    </row>
    <row r="28" spans="1:9" x14ac:dyDescent="0.55000000000000004">
      <c r="A28" s="1">
        <v>4</v>
      </c>
      <c r="B28" s="1">
        <v>75.239995578156098</v>
      </c>
      <c r="C28" s="1">
        <v>-0.23999557815609762</v>
      </c>
      <c r="D28" s="1">
        <v>-0.26958210708308256</v>
      </c>
      <c r="F28" s="1">
        <v>12.068965517241379</v>
      </c>
      <c r="G28" s="1">
        <v>60</v>
      </c>
    </row>
    <row r="29" spans="1:9" x14ac:dyDescent="0.55000000000000004">
      <c r="A29" s="1">
        <v>5</v>
      </c>
      <c r="B29" s="1">
        <v>90.586704989313887</v>
      </c>
      <c r="C29" s="1">
        <v>0.41329501068611307</v>
      </c>
      <c r="D29" s="1">
        <v>0.46424580270899751</v>
      </c>
      <c r="F29" s="1">
        <v>15.517241379310343</v>
      </c>
      <c r="G29" s="1">
        <v>62</v>
      </c>
    </row>
    <row r="30" spans="1:9" x14ac:dyDescent="0.55000000000000004">
      <c r="A30" s="1">
        <v>6</v>
      </c>
      <c r="B30" s="1">
        <v>55.508512049524647</v>
      </c>
      <c r="C30" s="1">
        <v>-0.50851204952464713</v>
      </c>
      <c r="D30" s="1">
        <v>-0.57120114812627121</v>
      </c>
      <c r="F30" s="1">
        <v>18.96551724137931</v>
      </c>
      <c r="G30" s="1">
        <v>63</v>
      </c>
    </row>
    <row r="31" spans="1:9" x14ac:dyDescent="0.55000000000000004">
      <c r="A31" s="1">
        <v>7</v>
      </c>
      <c r="B31" s="1">
        <v>79.624769695629752</v>
      </c>
      <c r="C31" s="1">
        <v>0.37523030437024829</v>
      </c>
      <c r="D31" s="1">
        <v>0.42148849937462013</v>
      </c>
      <c r="F31" s="1">
        <v>22.413793103448278</v>
      </c>
      <c r="G31" s="1">
        <v>65</v>
      </c>
    </row>
    <row r="32" spans="1:9" x14ac:dyDescent="0.55000000000000004">
      <c r="A32" s="1">
        <v>8</v>
      </c>
      <c r="B32" s="1">
        <v>73.047608519419271</v>
      </c>
      <c r="C32" s="1">
        <v>-1.0476085194192706</v>
      </c>
      <c r="D32" s="1">
        <v>-1.176757147915227</v>
      </c>
      <c r="F32" s="1">
        <v>25.862068965517242</v>
      </c>
      <c r="G32" s="1">
        <v>67</v>
      </c>
    </row>
    <row r="33" spans="1:7" x14ac:dyDescent="0.55000000000000004">
      <c r="A33" s="1">
        <v>9</v>
      </c>
      <c r="B33" s="1">
        <v>84.009543813103406</v>
      </c>
      <c r="C33" s="1">
        <v>0.9904561868965942</v>
      </c>
      <c r="D33" s="1">
        <v>1.1125591058323228</v>
      </c>
      <c r="F33" s="1">
        <v>29.310344827586206</v>
      </c>
      <c r="G33" s="1">
        <v>69</v>
      </c>
    </row>
    <row r="34" spans="1:7" x14ac:dyDescent="0.55000000000000004">
      <c r="A34" s="1">
        <v>10</v>
      </c>
      <c r="B34" s="1">
        <v>64.278060284471962</v>
      </c>
      <c r="C34" s="1">
        <v>0.7219397155280376</v>
      </c>
      <c r="D34" s="1">
        <v>0.81094006478912617</v>
      </c>
      <c r="F34" s="1">
        <v>32.758620689655167</v>
      </c>
      <c r="G34" s="1">
        <v>70</v>
      </c>
    </row>
    <row r="35" spans="1:7" x14ac:dyDescent="0.55000000000000004">
      <c r="A35" s="1">
        <v>11</v>
      </c>
      <c r="B35" s="1">
        <v>94.971479106787541</v>
      </c>
      <c r="C35" s="1">
        <v>-0.97147910678754101</v>
      </c>
      <c r="D35" s="1">
        <v>-1.0912425412464721</v>
      </c>
      <c r="F35" s="1">
        <v>36.206896551724135</v>
      </c>
      <c r="G35" s="1">
        <v>72</v>
      </c>
    </row>
    <row r="36" spans="1:7" x14ac:dyDescent="0.55000000000000004">
      <c r="A36" s="1">
        <v>12</v>
      </c>
      <c r="B36" s="1">
        <v>62.085673225735128</v>
      </c>
      <c r="C36" s="1">
        <v>0.91432677426487174</v>
      </c>
      <c r="D36" s="1">
        <v>1.0270444991635759</v>
      </c>
      <c r="F36" s="1">
        <v>39.655172413793103</v>
      </c>
      <c r="G36" s="1">
        <v>73</v>
      </c>
    </row>
    <row r="37" spans="1:7" x14ac:dyDescent="0.55000000000000004">
      <c r="A37" s="1">
        <v>13</v>
      </c>
      <c r="B37" s="1">
        <v>88.394317930577074</v>
      </c>
      <c r="C37" s="1">
        <v>0.60568206942292591</v>
      </c>
      <c r="D37" s="1">
        <v>0.68035023708342335</v>
      </c>
      <c r="F37" s="1">
        <v>43.103448275862071</v>
      </c>
      <c r="G37" s="1">
        <v>74</v>
      </c>
    </row>
    <row r="38" spans="1:7" x14ac:dyDescent="0.55000000000000004">
      <c r="A38" s="1">
        <v>14</v>
      </c>
      <c r="B38" s="1">
        <v>66.470447343208789</v>
      </c>
      <c r="C38" s="1">
        <v>0.52955265679121055</v>
      </c>
      <c r="D38" s="1">
        <v>0.59483563041468446</v>
      </c>
      <c r="F38" s="1">
        <v>46.551724137931032</v>
      </c>
      <c r="G38" s="1">
        <v>75</v>
      </c>
    </row>
    <row r="39" spans="1:7" x14ac:dyDescent="0.55000000000000004">
      <c r="A39" s="1">
        <v>15</v>
      </c>
      <c r="B39" s="1">
        <v>77.432382636892925</v>
      </c>
      <c r="C39" s="1">
        <v>0.56761736310707533</v>
      </c>
      <c r="D39" s="1">
        <v>0.6375929337490619</v>
      </c>
      <c r="F39" s="1">
        <v>50</v>
      </c>
      <c r="G39" s="1">
        <v>78</v>
      </c>
    </row>
    <row r="40" spans="1:7" x14ac:dyDescent="0.55000000000000004">
      <c r="A40" s="1">
        <v>16</v>
      </c>
      <c r="B40" s="1">
        <v>70.855221460682444</v>
      </c>
      <c r="C40" s="1">
        <v>-0.85522146068244354</v>
      </c>
      <c r="D40" s="1">
        <v>-0.9606527135407853</v>
      </c>
      <c r="F40" s="1">
        <v>53.448275862068961</v>
      </c>
      <c r="G40" s="1">
        <v>80</v>
      </c>
    </row>
    <row r="41" spans="1:7" x14ac:dyDescent="0.55000000000000004">
      <c r="A41" s="1">
        <v>17</v>
      </c>
      <c r="B41" s="1">
        <v>92.779092048050728</v>
      </c>
      <c r="C41" s="1">
        <v>-0.77909204805072818</v>
      </c>
      <c r="D41" s="1">
        <v>-0.87513810687204641</v>
      </c>
      <c r="F41" s="1">
        <v>56.896551724137929</v>
      </c>
      <c r="G41" s="1">
        <v>82</v>
      </c>
    </row>
    <row r="42" spans="1:7" x14ac:dyDescent="0.55000000000000004">
      <c r="A42" s="1">
        <v>18</v>
      </c>
      <c r="B42" s="1">
        <v>57.700899108261474</v>
      </c>
      <c r="C42" s="1">
        <v>0.29910089173852583</v>
      </c>
      <c r="D42" s="1">
        <v>0.33597389270587324</v>
      </c>
      <c r="F42" s="1">
        <v>60.344827586206897</v>
      </c>
      <c r="G42" s="1">
        <v>83</v>
      </c>
    </row>
    <row r="43" spans="1:7" x14ac:dyDescent="0.55000000000000004">
      <c r="A43" s="1">
        <v>19</v>
      </c>
      <c r="B43" s="1">
        <v>81.817156754366579</v>
      </c>
      <c r="C43" s="1">
        <v>2.1828432456334212</v>
      </c>
      <c r="D43" s="1">
        <v>2.4519430154133506</v>
      </c>
      <c r="F43" s="1">
        <v>63.793103448275858</v>
      </c>
      <c r="G43" s="1">
        <v>84</v>
      </c>
    </row>
    <row r="44" spans="1:7" x14ac:dyDescent="0.55000000000000004">
      <c r="A44" s="1">
        <v>20</v>
      </c>
      <c r="B44" s="1">
        <v>73.047608519419271</v>
      </c>
      <c r="C44" s="1">
        <v>-4.7608519419270579E-2</v>
      </c>
      <c r="D44" s="1">
        <v>-5.3477672708640824E-2</v>
      </c>
      <c r="F44" s="1">
        <v>67.241379310344811</v>
      </c>
      <c r="G44" s="1">
        <v>85</v>
      </c>
    </row>
    <row r="45" spans="1:7" x14ac:dyDescent="0.55000000000000004">
      <c r="A45" s="1">
        <v>21</v>
      </c>
      <c r="B45" s="1">
        <v>90.586704989313887</v>
      </c>
      <c r="C45" s="1">
        <v>-0.58670498931388693</v>
      </c>
      <c r="D45" s="1">
        <v>-0.65903367249758871</v>
      </c>
      <c r="F45" s="1">
        <v>70.689655172413779</v>
      </c>
      <c r="G45" s="1">
        <v>86</v>
      </c>
    </row>
    <row r="46" spans="1:7" x14ac:dyDescent="0.55000000000000004">
      <c r="A46" s="1">
        <v>22</v>
      </c>
      <c r="B46" s="1">
        <v>62.085673225735128</v>
      </c>
      <c r="C46" s="1">
        <v>-8.5673225735128256E-2</v>
      </c>
      <c r="D46" s="1">
        <v>-9.6234976043010262E-2</v>
      </c>
      <c r="F46" s="1">
        <v>74.137931034482747</v>
      </c>
      <c r="G46" s="1">
        <v>88</v>
      </c>
    </row>
    <row r="47" spans="1:7" x14ac:dyDescent="0.55000000000000004">
      <c r="A47" s="1">
        <v>23</v>
      </c>
      <c r="B47" s="1">
        <v>86.201930871840233</v>
      </c>
      <c r="C47" s="1">
        <v>-0.20193087184023284</v>
      </c>
      <c r="D47" s="1">
        <v>-0.22682480374870517</v>
      </c>
      <c r="F47" s="1">
        <v>77.586206896551715</v>
      </c>
      <c r="G47" s="1">
        <v>89</v>
      </c>
    </row>
    <row r="48" spans="1:7" x14ac:dyDescent="0.55000000000000004">
      <c r="A48" s="1">
        <v>24</v>
      </c>
      <c r="B48" s="1">
        <v>75.239995578156098</v>
      </c>
      <c r="C48" s="1">
        <v>-1.2399955781560976</v>
      </c>
      <c r="D48" s="1">
        <v>-1.3928615822896688</v>
      </c>
      <c r="F48" s="1">
        <v>81.034482758620683</v>
      </c>
      <c r="G48" s="1">
        <v>90</v>
      </c>
    </row>
    <row r="49" spans="1:7" x14ac:dyDescent="0.55000000000000004">
      <c r="A49" s="1">
        <v>25</v>
      </c>
      <c r="B49" s="1">
        <v>97.163866165524382</v>
      </c>
      <c r="C49" s="1">
        <v>-1.1638661655243823</v>
      </c>
      <c r="D49" s="1">
        <v>-1.3073469756209299</v>
      </c>
      <c r="F49" s="1">
        <v>84.482758620689651</v>
      </c>
      <c r="G49" s="1">
        <v>91</v>
      </c>
    </row>
    <row r="50" spans="1:7" x14ac:dyDescent="0.55000000000000004">
      <c r="A50" s="1">
        <v>26</v>
      </c>
      <c r="B50" s="1">
        <v>55.508512049524647</v>
      </c>
      <c r="C50" s="1">
        <v>-1.5085120495246471</v>
      </c>
      <c r="D50" s="1">
        <v>-1.6944806233328573</v>
      </c>
      <c r="F50" s="1">
        <v>87.931034482758605</v>
      </c>
      <c r="G50" s="1">
        <v>92</v>
      </c>
    </row>
    <row r="51" spans="1:7" x14ac:dyDescent="0.55000000000000004">
      <c r="A51" s="1">
        <v>27</v>
      </c>
      <c r="B51" s="1">
        <v>84.009543813103406</v>
      </c>
      <c r="C51" s="1">
        <v>-1.0095438131034058</v>
      </c>
      <c r="D51" s="1">
        <v>-1.1339998445808497</v>
      </c>
      <c r="F51" s="1">
        <v>91.379310344827573</v>
      </c>
      <c r="G51" s="1">
        <v>93</v>
      </c>
    </row>
    <row r="52" spans="1:7" x14ac:dyDescent="0.55000000000000004">
      <c r="A52" s="1">
        <v>28</v>
      </c>
      <c r="B52" s="1">
        <v>68.662834401945616</v>
      </c>
      <c r="C52" s="1">
        <v>0.33716559805438351</v>
      </c>
      <c r="D52" s="1">
        <v>0.37873119604024269</v>
      </c>
      <c r="F52" s="1">
        <v>94.827586206896541</v>
      </c>
      <c r="G52" s="1">
        <v>94</v>
      </c>
    </row>
    <row r="53" spans="1:7" ht="14.7" thickBot="1" x14ac:dyDescent="0.6">
      <c r="A53" s="2">
        <v>29</v>
      </c>
      <c r="B53" s="2">
        <v>92.779092048050728</v>
      </c>
      <c r="C53" s="2">
        <v>0.22090795194927182</v>
      </c>
      <c r="D53" s="2">
        <v>0.24814136833453981</v>
      </c>
      <c r="F53" s="2">
        <v>98.275862068965509</v>
      </c>
      <c r="G53" s="2">
        <v>96</v>
      </c>
    </row>
  </sheetData>
  <sortState xmlns:xlrd2="http://schemas.microsoft.com/office/spreadsheetml/2017/richdata2" ref="G25:G53">
    <sortCondition ref="G25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4230C-8A5E-41AB-BBFA-75E11066DAE7}">
  <dimension ref="A1:S68"/>
  <sheetViews>
    <sheetView topLeftCell="N4" workbookViewId="0">
      <selection activeCell="U24" sqref="U24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47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1" x14ac:dyDescent="0.55000000000000004">
      <c r="A2">
        <v>1</v>
      </c>
      <c r="B2">
        <v>22</v>
      </c>
      <c r="C2">
        <f>IF(D2="software",1,0)</f>
        <v>0</v>
      </c>
      <c r="D2" t="s">
        <v>7</v>
      </c>
      <c r="E2">
        <v>12</v>
      </c>
      <c r="F2">
        <v>85</v>
      </c>
      <c r="G2">
        <v>68</v>
      </c>
      <c r="H2">
        <v>3</v>
      </c>
    </row>
    <row r="3" spans="1:11" x14ac:dyDescent="0.55000000000000004">
      <c r="A3">
        <v>2</v>
      </c>
      <c r="B3">
        <v>29</v>
      </c>
      <c r="C3">
        <f t="shared" ref="C3:C31" si="0">IF(D3="software",1,0)</f>
        <v>1</v>
      </c>
      <c r="D3" t="s">
        <v>8</v>
      </c>
      <c r="E3">
        <v>20</v>
      </c>
      <c r="F3">
        <v>95</v>
      </c>
      <c r="G3">
        <v>88</v>
      </c>
      <c r="H3">
        <v>5</v>
      </c>
    </row>
    <row r="4" spans="1:11" x14ac:dyDescent="0.55000000000000004">
      <c r="A4">
        <v>3</v>
      </c>
      <c r="B4">
        <v>24</v>
      </c>
      <c r="C4">
        <f t="shared" si="0"/>
        <v>0</v>
      </c>
      <c r="D4" t="s">
        <v>7</v>
      </c>
      <c r="E4">
        <v>8</v>
      </c>
      <c r="F4">
        <v>75</v>
      </c>
      <c r="G4">
        <v>60</v>
      </c>
      <c r="H4">
        <v>3</v>
      </c>
    </row>
    <row r="5" spans="1:11" x14ac:dyDescent="0.55000000000000004">
      <c r="A5">
        <v>4</v>
      </c>
      <c r="B5">
        <v>31</v>
      </c>
      <c r="C5">
        <f t="shared" si="0"/>
        <v>1</v>
      </c>
      <c r="D5" t="s">
        <v>8</v>
      </c>
      <c r="E5">
        <v>18</v>
      </c>
      <c r="F5">
        <v>90</v>
      </c>
      <c r="G5">
        <v>82</v>
      </c>
      <c r="H5">
        <v>4</v>
      </c>
    </row>
    <row r="6" spans="1:11" x14ac:dyDescent="0.55000000000000004">
      <c r="A6">
        <v>5</v>
      </c>
      <c r="B6">
        <v>27</v>
      </c>
      <c r="C6">
        <f t="shared" si="0"/>
        <v>0</v>
      </c>
      <c r="D6" t="s">
        <v>7</v>
      </c>
      <c r="E6">
        <v>15</v>
      </c>
      <c r="F6">
        <v>88</v>
      </c>
      <c r="G6">
        <v>75</v>
      </c>
      <c r="H6">
        <v>4</v>
      </c>
    </row>
    <row r="7" spans="1:11" x14ac:dyDescent="0.55000000000000004">
      <c r="A7">
        <v>6</v>
      </c>
      <c r="B7">
        <v>34</v>
      </c>
      <c r="C7">
        <f t="shared" si="0"/>
        <v>1</v>
      </c>
      <c r="D7" t="s">
        <v>8</v>
      </c>
      <c r="E7">
        <v>22</v>
      </c>
      <c r="F7">
        <v>96</v>
      </c>
      <c r="G7">
        <v>91</v>
      </c>
      <c r="H7">
        <v>5</v>
      </c>
    </row>
    <row r="8" spans="1:11" x14ac:dyDescent="0.55000000000000004">
      <c r="A8">
        <v>7</v>
      </c>
      <c r="B8">
        <v>21</v>
      </c>
      <c r="C8">
        <f t="shared" si="0"/>
        <v>0</v>
      </c>
      <c r="D8" t="s">
        <v>7</v>
      </c>
      <c r="E8">
        <v>6</v>
      </c>
      <c r="F8">
        <v>70</v>
      </c>
      <c r="G8">
        <v>55</v>
      </c>
      <c r="H8">
        <v>2</v>
      </c>
    </row>
    <row r="9" spans="1:11" x14ac:dyDescent="0.55000000000000004">
      <c r="A9">
        <v>8</v>
      </c>
      <c r="B9">
        <v>30</v>
      </c>
      <c r="C9">
        <f t="shared" si="0"/>
        <v>1</v>
      </c>
      <c r="D9" t="s">
        <v>8</v>
      </c>
      <c r="E9">
        <v>17</v>
      </c>
      <c r="F9">
        <v>89</v>
      </c>
      <c r="G9">
        <v>80</v>
      </c>
      <c r="H9">
        <v>4</v>
      </c>
    </row>
    <row r="10" spans="1:11" x14ac:dyDescent="0.55000000000000004">
      <c r="A10">
        <v>9</v>
      </c>
      <c r="B10">
        <v>26</v>
      </c>
      <c r="C10">
        <f t="shared" si="0"/>
        <v>0</v>
      </c>
      <c r="D10" t="s">
        <v>7</v>
      </c>
      <c r="E10">
        <v>14</v>
      </c>
      <c r="F10">
        <v>84</v>
      </c>
      <c r="G10">
        <v>72</v>
      </c>
      <c r="H10">
        <v>4</v>
      </c>
    </row>
    <row r="11" spans="1:11" x14ac:dyDescent="0.55000000000000004">
      <c r="A11">
        <v>10</v>
      </c>
      <c r="B11">
        <v>28</v>
      </c>
      <c r="C11">
        <f t="shared" si="0"/>
        <v>1</v>
      </c>
      <c r="D11" t="s">
        <v>8</v>
      </c>
      <c r="E11">
        <v>19</v>
      </c>
      <c r="F11">
        <v>92</v>
      </c>
      <c r="G11">
        <v>85</v>
      </c>
      <c r="H11">
        <v>5</v>
      </c>
    </row>
    <row r="12" spans="1:11" x14ac:dyDescent="0.55000000000000004">
      <c r="A12">
        <v>11</v>
      </c>
      <c r="B12">
        <v>23</v>
      </c>
      <c r="C12">
        <f t="shared" si="0"/>
        <v>0</v>
      </c>
      <c r="D12" t="s">
        <v>7</v>
      </c>
      <c r="E12">
        <v>10</v>
      </c>
      <c r="F12">
        <v>78</v>
      </c>
      <c r="G12">
        <v>65</v>
      </c>
      <c r="H12">
        <v>3</v>
      </c>
    </row>
    <row r="13" spans="1:11" x14ac:dyDescent="0.55000000000000004">
      <c r="A13">
        <v>12</v>
      </c>
      <c r="B13">
        <v>35</v>
      </c>
      <c r="C13">
        <f t="shared" si="0"/>
        <v>1</v>
      </c>
      <c r="D13" t="s">
        <v>8</v>
      </c>
      <c r="E13">
        <v>24</v>
      </c>
      <c r="F13">
        <v>97</v>
      </c>
      <c r="G13">
        <v>94</v>
      </c>
      <c r="H13">
        <v>5</v>
      </c>
    </row>
    <row r="14" spans="1:11" x14ac:dyDescent="0.55000000000000004">
      <c r="A14">
        <v>13</v>
      </c>
      <c r="B14">
        <v>25</v>
      </c>
      <c r="C14">
        <f t="shared" si="0"/>
        <v>0</v>
      </c>
      <c r="D14" t="s">
        <v>7</v>
      </c>
      <c r="E14">
        <v>9</v>
      </c>
      <c r="F14">
        <v>76</v>
      </c>
      <c r="G14">
        <v>63</v>
      </c>
      <c r="H14">
        <v>3</v>
      </c>
    </row>
    <row r="15" spans="1:11" x14ac:dyDescent="0.55000000000000004">
      <c r="A15">
        <v>14</v>
      </c>
      <c r="B15">
        <v>32</v>
      </c>
      <c r="C15">
        <f t="shared" si="0"/>
        <v>1</v>
      </c>
      <c r="D15" t="s">
        <v>8</v>
      </c>
      <c r="E15">
        <v>21</v>
      </c>
      <c r="F15">
        <v>94</v>
      </c>
      <c r="G15">
        <v>89</v>
      </c>
      <c r="H15">
        <v>5</v>
      </c>
    </row>
    <row r="16" spans="1:11" x14ac:dyDescent="0.55000000000000004">
      <c r="A16">
        <v>15</v>
      </c>
      <c r="B16">
        <v>24</v>
      </c>
      <c r="C16">
        <f t="shared" si="0"/>
        <v>0</v>
      </c>
      <c r="D16" t="s">
        <v>7</v>
      </c>
      <c r="E16">
        <v>11</v>
      </c>
      <c r="F16">
        <v>80</v>
      </c>
      <c r="G16">
        <v>67</v>
      </c>
      <c r="H16">
        <v>3</v>
      </c>
      <c r="K16" t="s">
        <v>22</v>
      </c>
    </row>
    <row r="17" spans="1:19" ht="14.7" thickBot="1" x14ac:dyDescent="0.6">
      <c r="A17">
        <v>16</v>
      </c>
      <c r="B17">
        <v>29</v>
      </c>
      <c r="C17">
        <f t="shared" si="0"/>
        <v>1</v>
      </c>
      <c r="D17" t="s">
        <v>8</v>
      </c>
      <c r="E17">
        <v>16</v>
      </c>
      <c r="F17">
        <v>87</v>
      </c>
      <c r="G17">
        <v>78</v>
      </c>
      <c r="H17">
        <v>4</v>
      </c>
    </row>
    <row r="18" spans="1:19" x14ac:dyDescent="0.55000000000000004">
      <c r="A18">
        <v>17</v>
      </c>
      <c r="B18">
        <v>27</v>
      </c>
      <c r="C18">
        <f t="shared" si="0"/>
        <v>0</v>
      </c>
      <c r="D18" t="s">
        <v>7</v>
      </c>
      <c r="E18">
        <v>13</v>
      </c>
      <c r="F18">
        <v>82</v>
      </c>
      <c r="G18">
        <v>70</v>
      </c>
      <c r="H18">
        <v>4</v>
      </c>
      <c r="K18" s="4" t="s">
        <v>23</v>
      </c>
      <c r="L18" s="4"/>
    </row>
    <row r="19" spans="1:19" x14ac:dyDescent="0.55000000000000004">
      <c r="A19">
        <v>18</v>
      </c>
      <c r="B19">
        <v>33</v>
      </c>
      <c r="C19">
        <f t="shared" si="0"/>
        <v>1</v>
      </c>
      <c r="D19" t="s">
        <v>8</v>
      </c>
      <c r="E19">
        <v>23</v>
      </c>
      <c r="F19">
        <v>96</v>
      </c>
      <c r="G19">
        <v>92</v>
      </c>
      <c r="H19">
        <v>5</v>
      </c>
      <c r="K19" s="1" t="s">
        <v>24</v>
      </c>
      <c r="L19" s="1">
        <v>0.99754226689394698</v>
      </c>
    </row>
    <row r="20" spans="1:19" x14ac:dyDescent="0.55000000000000004">
      <c r="A20">
        <v>19</v>
      </c>
      <c r="B20">
        <v>22</v>
      </c>
      <c r="C20">
        <f t="shared" si="0"/>
        <v>0</v>
      </c>
      <c r="D20" t="s">
        <v>7</v>
      </c>
      <c r="E20">
        <v>7</v>
      </c>
      <c r="F20">
        <v>73</v>
      </c>
      <c r="G20">
        <v>58</v>
      </c>
      <c r="H20">
        <v>2</v>
      </c>
      <c r="K20" s="1" t="s">
        <v>25</v>
      </c>
      <c r="L20" s="1">
        <v>0.99509057423991465</v>
      </c>
    </row>
    <row r="21" spans="1:19" x14ac:dyDescent="0.55000000000000004">
      <c r="A21">
        <v>20</v>
      </c>
      <c r="B21">
        <v>31</v>
      </c>
      <c r="C21">
        <f t="shared" si="0"/>
        <v>1</v>
      </c>
      <c r="D21" t="s">
        <v>8</v>
      </c>
      <c r="E21">
        <v>18</v>
      </c>
      <c r="F21">
        <v>91</v>
      </c>
      <c r="G21">
        <v>84</v>
      </c>
      <c r="H21">
        <v>4</v>
      </c>
      <c r="K21" s="1" t="s">
        <v>26</v>
      </c>
      <c r="L21" s="1">
        <v>0.99490874365620785</v>
      </c>
    </row>
    <row r="22" spans="1:19" x14ac:dyDescent="0.55000000000000004">
      <c r="A22">
        <v>21</v>
      </c>
      <c r="B22">
        <v>26</v>
      </c>
      <c r="C22">
        <f t="shared" si="0"/>
        <v>0</v>
      </c>
      <c r="D22" t="s">
        <v>7</v>
      </c>
      <c r="E22">
        <v>14</v>
      </c>
      <c r="F22">
        <v>85</v>
      </c>
      <c r="G22">
        <v>73</v>
      </c>
      <c r="H22">
        <v>4</v>
      </c>
      <c r="K22" s="1" t="s">
        <v>10</v>
      </c>
      <c r="L22" s="1">
        <v>0.90658663040855725</v>
      </c>
    </row>
    <row r="23" spans="1:19" ht="14.7" thickBot="1" x14ac:dyDescent="0.6">
      <c r="A23">
        <v>22</v>
      </c>
      <c r="B23">
        <v>34</v>
      </c>
      <c r="C23">
        <f>IF(D23="software",1,0)</f>
        <v>1</v>
      </c>
      <c r="D23" t="s">
        <v>8</v>
      </c>
      <c r="E23">
        <v>22</v>
      </c>
      <c r="F23">
        <v>95</v>
      </c>
      <c r="G23">
        <v>90</v>
      </c>
      <c r="H23">
        <v>5</v>
      </c>
      <c r="K23" s="2" t="s">
        <v>27</v>
      </c>
      <c r="L23" s="2">
        <v>29</v>
      </c>
    </row>
    <row r="24" spans="1:19" x14ac:dyDescent="0.55000000000000004">
      <c r="A24">
        <v>23</v>
      </c>
      <c r="B24">
        <v>23</v>
      </c>
      <c r="C24">
        <f t="shared" si="0"/>
        <v>0</v>
      </c>
      <c r="D24" t="s">
        <v>7</v>
      </c>
      <c r="E24">
        <v>9</v>
      </c>
      <c r="F24">
        <v>77</v>
      </c>
      <c r="G24">
        <v>62</v>
      </c>
      <c r="H24">
        <v>3</v>
      </c>
    </row>
    <row r="25" spans="1:19" ht="14.7" thickBot="1" x14ac:dyDescent="0.6">
      <c r="A25">
        <v>24</v>
      </c>
      <c r="B25">
        <v>30</v>
      </c>
      <c r="C25">
        <f t="shared" si="0"/>
        <v>1</v>
      </c>
      <c r="D25" t="s">
        <v>8</v>
      </c>
      <c r="E25">
        <v>20</v>
      </c>
      <c r="F25">
        <v>93</v>
      </c>
      <c r="G25">
        <v>86</v>
      </c>
      <c r="H25">
        <v>5</v>
      </c>
      <c r="K25" t="s">
        <v>28</v>
      </c>
    </row>
    <row r="26" spans="1:19" x14ac:dyDescent="0.55000000000000004">
      <c r="A26">
        <v>25</v>
      </c>
      <c r="B26">
        <v>28</v>
      </c>
      <c r="C26">
        <f t="shared" si="0"/>
        <v>0</v>
      </c>
      <c r="D26" t="s">
        <v>7</v>
      </c>
      <c r="E26">
        <v>15</v>
      </c>
      <c r="F26">
        <v>86</v>
      </c>
      <c r="G26">
        <v>74</v>
      </c>
      <c r="H26">
        <v>4</v>
      </c>
      <c r="K26" s="3"/>
      <c r="L26" s="3" t="s">
        <v>33</v>
      </c>
      <c r="M26" s="3" t="s">
        <v>34</v>
      </c>
      <c r="N26" s="3" t="s">
        <v>35</v>
      </c>
      <c r="O26" s="3" t="s">
        <v>36</v>
      </c>
      <c r="P26" s="3" t="s">
        <v>37</v>
      </c>
    </row>
    <row r="27" spans="1:19" x14ac:dyDescent="0.55000000000000004">
      <c r="A27">
        <v>26</v>
      </c>
      <c r="B27">
        <v>35</v>
      </c>
      <c r="C27">
        <f t="shared" si="0"/>
        <v>1</v>
      </c>
      <c r="D27" t="s">
        <v>8</v>
      </c>
      <c r="E27">
        <v>25</v>
      </c>
      <c r="F27">
        <v>98</v>
      </c>
      <c r="G27">
        <v>96</v>
      </c>
      <c r="H27">
        <v>5</v>
      </c>
      <c r="K27" s="1" t="s">
        <v>29</v>
      </c>
      <c r="L27" s="1">
        <v>1</v>
      </c>
      <c r="M27" s="1">
        <v>4497.9466494367225</v>
      </c>
      <c r="N27" s="1">
        <v>4497.9466494367225</v>
      </c>
      <c r="O27" s="1">
        <v>5472.6248684551956</v>
      </c>
      <c r="P27" s="1">
        <v>1.028364557374756E-32</v>
      </c>
    </row>
    <row r="28" spans="1:19" x14ac:dyDescent="0.55000000000000004">
      <c r="A28">
        <v>27</v>
      </c>
      <c r="B28">
        <v>21</v>
      </c>
      <c r="C28">
        <f t="shared" si="0"/>
        <v>0</v>
      </c>
      <c r="D28" t="s">
        <v>7</v>
      </c>
      <c r="E28">
        <v>6</v>
      </c>
      <c r="F28">
        <v>72</v>
      </c>
      <c r="G28">
        <v>54</v>
      </c>
      <c r="H28">
        <v>2</v>
      </c>
      <c r="K28" s="1" t="s">
        <v>30</v>
      </c>
      <c r="L28" s="1">
        <v>27</v>
      </c>
      <c r="M28" s="1">
        <v>22.191281597759634</v>
      </c>
      <c r="N28" s="1">
        <v>0.82189931843554198</v>
      </c>
      <c r="O28" s="1"/>
      <c r="P28" s="1"/>
    </row>
    <row r="29" spans="1:19" ht="14.7" thickBot="1" x14ac:dyDescent="0.6">
      <c r="A29">
        <v>28</v>
      </c>
      <c r="B29">
        <v>32</v>
      </c>
      <c r="C29">
        <f>IF(D29="software",1,0)</f>
        <v>1</v>
      </c>
      <c r="D29" t="s">
        <v>8</v>
      </c>
      <c r="E29">
        <v>19</v>
      </c>
      <c r="F29">
        <v>92</v>
      </c>
      <c r="G29">
        <v>83</v>
      </c>
      <c r="H29">
        <v>4</v>
      </c>
      <c r="K29" s="2" t="s">
        <v>31</v>
      </c>
      <c r="L29" s="2">
        <v>28</v>
      </c>
      <c r="M29" s="2">
        <v>4520.1379310344819</v>
      </c>
      <c r="N29" s="2"/>
      <c r="O29" s="2"/>
      <c r="P29" s="2"/>
    </row>
    <row r="30" spans="1:19" ht="14.7" thickBot="1" x14ac:dyDescent="0.6">
      <c r="A30">
        <v>29</v>
      </c>
      <c r="B30">
        <v>25</v>
      </c>
      <c r="C30">
        <f t="shared" si="0"/>
        <v>0</v>
      </c>
      <c r="D30" t="s">
        <v>7</v>
      </c>
      <c r="E30">
        <v>12</v>
      </c>
      <c r="F30">
        <v>81</v>
      </c>
      <c r="G30">
        <v>69</v>
      </c>
      <c r="H30">
        <v>3</v>
      </c>
    </row>
    <row r="31" spans="1:19" x14ac:dyDescent="0.55000000000000004">
      <c r="A31">
        <v>30</v>
      </c>
      <c r="B31">
        <v>33</v>
      </c>
      <c r="C31">
        <f t="shared" si="0"/>
        <v>1</v>
      </c>
      <c r="D31" t="s">
        <v>8</v>
      </c>
      <c r="E31">
        <v>23</v>
      </c>
      <c r="F31">
        <v>97</v>
      </c>
      <c r="G31">
        <v>93</v>
      </c>
      <c r="H31">
        <v>5</v>
      </c>
      <c r="K31" s="3"/>
      <c r="L31" s="3" t="s">
        <v>38</v>
      </c>
      <c r="M31" s="3" t="s">
        <v>10</v>
      </c>
      <c r="N31" s="3" t="s">
        <v>39</v>
      </c>
      <c r="O31" s="3" t="s">
        <v>40</v>
      </c>
      <c r="P31" s="3" t="s">
        <v>41</v>
      </c>
      <c r="Q31" s="3" t="s">
        <v>42</v>
      </c>
      <c r="R31" s="3" t="s">
        <v>43</v>
      </c>
      <c r="S31" s="3" t="s">
        <v>44</v>
      </c>
    </row>
    <row r="32" spans="1:19" x14ac:dyDescent="0.55000000000000004">
      <c r="K32" s="1" t="s">
        <v>32</v>
      </c>
      <c r="L32" s="1">
        <v>42.354189697103678</v>
      </c>
      <c r="M32" s="1">
        <v>0.49547721838107645</v>
      </c>
      <c r="N32" s="1">
        <v>85.481608691297382</v>
      </c>
      <c r="O32" s="1">
        <v>2.1096369928473474E-34</v>
      </c>
      <c r="P32" s="1">
        <v>41.337554420208619</v>
      </c>
      <c r="Q32" s="1">
        <v>43.370824973998737</v>
      </c>
      <c r="R32" s="1">
        <v>41.337554420208619</v>
      </c>
      <c r="S32" s="1">
        <v>43.370824973998737</v>
      </c>
    </row>
    <row r="33" spans="11:19" ht="14.7" thickBot="1" x14ac:dyDescent="0.6">
      <c r="K33" s="2">
        <v>12</v>
      </c>
      <c r="L33" s="2">
        <v>2.1923870587368279</v>
      </c>
      <c r="M33" s="2">
        <v>2.9635986620138496E-2</v>
      </c>
      <c r="N33" s="2">
        <v>73.977191542090878</v>
      </c>
      <c r="O33" s="2">
        <v>1.028364557374756E-32</v>
      </c>
      <c r="P33" s="2">
        <v>2.1315790370036263</v>
      </c>
      <c r="Q33" s="2">
        <v>2.2531950804700296</v>
      </c>
      <c r="R33" s="2">
        <v>2.1315790370036263</v>
      </c>
      <c r="S33" s="2">
        <v>2.2531950804700296</v>
      </c>
    </row>
    <row r="37" spans="11:19" x14ac:dyDescent="0.55000000000000004">
      <c r="K37" t="s">
        <v>50</v>
      </c>
      <c r="O37" t="s">
        <v>54</v>
      </c>
    </row>
    <row r="38" spans="11:19" ht="14.7" thickBot="1" x14ac:dyDescent="0.6"/>
    <row r="39" spans="11:19" x14ac:dyDescent="0.55000000000000004">
      <c r="K39" s="3" t="s">
        <v>51</v>
      </c>
      <c r="L39" s="3" t="s">
        <v>53</v>
      </c>
      <c r="M39" s="3" t="s">
        <v>52</v>
      </c>
      <c r="O39" s="3" t="s">
        <v>55</v>
      </c>
      <c r="P39" s="3">
        <v>68</v>
      </c>
    </row>
    <row r="40" spans="11:19" x14ac:dyDescent="0.55000000000000004">
      <c r="K40" s="1">
        <v>1</v>
      </c>
      <c r="L40" s="1">
        <v>86.201930871840233</v>
      </c>
      <c r="M40" s="1">
        <v>1.7980691281597672</v>
      </c>
      <c r="O40" s="1">
        <v>1.7241379310344827</v>
      </c>
      <c r="P40" s="1">
        <v>54</v>
      </c>
    </row>
    <row r="41" spans="11:19" x14ac:dyDescent="0.55000000000000004">
      <c r="K41" s="1">
        <v>2</v>
      </c>
      <c r="L41" s="1">
        <v>59.893286166998301</v>
      </c>
      <c r="M41" s="1">
        <v>0.10671383300169879</v>
      </c>
      <c r="O41" s="1">
        <v>5.1724137931034484</v>
      </c>
      <c r="P41" s="1">
        <v>55</v>
      </c>
    </row>
    <row r="42" spans="11:19" x14ac:dyDescent="0.55000000000000004">
      <c r="K42" s="1">
        <v>3</v>
      </c>
      <c r="L42" s="1">
        <v>81.817156754366579</v>
      </c>
      <c r="M42" s="1">
        <v>0.18284324563342125</v>
      </c>
      <c r="O42" s="1">
        <v>8.6206896551724128</v>
      </c>
      <c r="P42" s="1">
        <v>58</v>
      </c>
    </row>
    <row r="43" spans="11:19" x14ac:dyDescent="0.55000000000000004">
      <c r="K43" s="1">
        <v>4</v>
      </c>
      <c r="L43" s="1">
        <v>75.239995578156098</v>
      </c>
      <c r="M43" s="1">
        <v>-0.23999557815609762</v>
      </c>
      <c r="O43" s="1">
        <v>12.068965517241379</v>
      </c>
      <c r="P43" s="1">
        <v>60</v>
      </c>
    </row>
    <row r="44" spans="11:19" x14ac:dyDescent="0.55000000000000004">
      <c r="K44" s="1">
        <v>5</v>
      </c>
      <c r="L44" s="1">
        <v>90.586704989313887</v>
      </c>
      <c r="M44" s="1">
        <v>0.41329501068611307</v>
      </c>
      <c r="O44" s="1">
        <v>15.517241379310343</v>
      </c>
      <c r="P44" s="1">
        <v>62</v>
      </c>
    </row>
    <row r="45" spans="11:19" x14ac:dyDescent="0.55000000000000004">
      <c r="K45" s="1">
        <v>6</v>
      </c>
      <c r="L45" s="1">
        <v>55.508512049524647</v>
      </c>
      <c r="M45" s="1">
        <v>-0.50851204952464713</v>
      </c>
      <c r="O45" s="1">
        <v>18.96551724137931</v>
      </c>
      <c r="P45" s="1">
        <v>63</v>
      </c>
    </row>
    <row r="46" spans="11:19" x14ac:dyDescent="0.55000000000000004">
      <c r="K46" s="1">
        <v>7</v>
      </c>
      <c r="L46" s="1">
        <v>79.624769695629752</v>
      </c>
      <c r="M46" s="1">
        <v>0.37523030437024829</v>
      </c>
      <c r="O46" s="1">
        <v>22.413793103448278</v>
      </c>
      <c r="P46" s="1">
        <v>65</v>
      </c>
    </row>
    <row r="47" spans="11:19" x14ac:dyDescent="0.55000000000000004">
      <c r="K47" s="1">
        <v>8</v>
      </c>
      <c r="L47" s="1">
        <v>73.047608519419271</v>
      </c>
      <c r="M47" s="1">
        <v>-1.0476085194192706</v>
      </c>
      <c r="O47" s="1">
        <v>25.862068965517242</v>
      </c>
      <c r="P47" s="1">
        <v>67</v>
      </c>
    </row>
    <row r="48" spans="11:19" x14ac:dyDescent="0.55000000000000004">
      <c r="K48" s="1">
        <v>9</v>
      </c>
      <c r="L48" s="1">
        <v>84.009543813103406</v>
      </c>
      <c r="M48" s="1">
        <v>0.9904561868965942</v>
      </c>
      <c r="O48" s="1">
        <v>29.310344827586206</v>
      </c>
      <c r="P48" s="1">
        <v>69</v>
      </c>
    </row>
    <row r="49" spans="11:16" x14ac:dyDescent="0.55000000000000004">
      <c r="K49" s="1">
        <v>10</v>
      </c>
      <c r="L49" s="1">
        <v>64.278060284471962</v>
      </c>
      <c r="M49" s="1">
        <v>0.7219397155280376</v>
      </c>
      <c r="O49" s="1">
        <v>32.758620689655167</v>
      </c>
      <c r="P49" s="1">
        <v>70</v>
      </c>
    </row>
    <row r="50" spans="11:16" x14ac:dyDescent="0.55000000000000004">
      <c r="K50" s="1">
        <v>11</v>
      </c>
      <c r="L50" s="1">
        <v>94.971479106787541</v>
      </c>
      <c r="M50" s="1">
        <v>-0.97147910678754101</v>
      </c>
      <c r="O50" s="1">
        <v>36.206896551724135</v>
      </c>
      <c r="P50" s="1">
        <v>72</v>
      </c>
    </row>
    <row r="51" spans="11:16" x14ac:dyDescent="0.55000000000000004">
      <c r="K51" s="1">
        <v>12</v>
      </c>
      <c r="L51" s="1">
        <v>62.085673225735128</v>
      </c>
      <c r="M51" s="1">
        <v>0.91432677426487174</v>
      </c>
      <c r="O51" s="1">
        <v>39.655172413793103</v>
      </c>
      <c r="P51" s="1">
        <v>73</v>
      </c>
    </row>
    <row r="52" spans="11:16" x14ac:dyDescent="0.55000000000000004">
      <c r="K52" s="1">
        <v>13</v>
      </c>
      <c r="L52" s="1">
        <v>88.394317930577074</v>
      </c>
      <c r="M52" s="1">
        <v>0.60568206942292591</v>
      </c>
      <c r="O52" s="1">
        <v>43.103448275862071</v>
      </c>
      <c r="P52" s="1">
        <v>74</v>
      </c>
    </row>
    <row r="53" spans="11:16" x14ac:dyDescent="0.55000000000000004">
      <c r="K53" s="1">
        <v>14</v>
      </c>
      <c r="L53" s="1">
        <v>66.470447343208789</v>
      </c>
      <c r="M53" s="1">
        <v>0.52955265679121055</v>
      </c>
      <c r="O53" s="1">
        <v>46.551724137931032</v>
      </c>
      <c r="P53" s="1">
        <v>75</v>
      </c>
    </row>
    <row r="54" spans="11:16" x14ac:dyDescent="0.55000000000000004">
      <c r="K54" s="1">
        <v>15</v>
      </c>
      <c r="L54" s="1">
        <v>77.432382636892925</v>
      </c>
      <c r="M54" s="1">
        <v>0.56761736310707533</v>
      </c>
      <c r="O54" s="1">
        <v>50</v>
      </c>
      <c r="P54" s="1">
        <v>78</v>
      </c>
    </row>
    <row r="55" spans="11:16" x14ac:dyDescent="0.55000000000000004">
      <c r="K55" s="1">
        <v>16</v>
      </c>
      <c r="L55" s="1">
        <v>70.855221460682444</v>
      </c>
      <c r="M55" s="1">
        <v>-0.85522146068244354</v>
      </c>
      <c r="O55" s="1">
        <v>53.448275862068961</v>
      </c>
      <c r="P55" s="1">
        <v>80</v>
      </c>
    </row>
    <row r="56" spans="11:16" x14ac:dyDescent="0.55000000000000004">
      <c r="K56" s="1">
        <v>17</v>
      </c>
      <c r="L56" s="1">
        <v>92.779092048050728</v>
      </c>
      <c r="M56" s="1">
        <v>-0.77909204805072818</v>
      </c>
      <c r="O56" s="1">
        <v>56.896551724137929</v>
      </c>
      <c r="P56" s="1">
        <v>82</v>
      </c>
    </row>
    <row r="57" spans="11:16" x14ac:dyDescent="0.55000000000000004">
      <c r="K57" s="1">
        <v>18</v>
      </c>
      <c r="L57" s="1">
        <v>57.700899108261474</v>
      </c>
      <c r="M57" s="1">
        <v>0.29910089173852583</v>
      </c>
      <c r="O57" s="1">
        <v>60.344827586206897</v>
      </c>
      <c r="P57" s="1">
        <v>83</v>
      </c>
    </row>
    <row r="58" spans="11:16" x14ac:dyDescent="0.55000000000000004">
      <c r="K58" s="1">
        <v>19</v>
      </c>
      <c r="L58" s="1">
        <v>81.817156754366579</v>
      </c>
      <c r="M58" s="1">
        <v>2.1828432456334212</v>
      </c>
      <c r="O58" s="1">
        <v>63.793103448275858</v>
      </c>
      <c r="P58" s="1">
        <v>84</v>
      </c>
    </row>
    <row r="59" spans="11:16" x14ac:dyDescent="0.55000000000000004">
      <c r="K59" s="1">
        <v>20</v>
      </c>
      <c r="L59" s="1">
        <v>73.047608519419271</v>
      </c>
      <c r="M59" s="1">
        <v>-4.7608519419270579E-2</v>
      </c>
      <c r="O59" s="1">
        <v>67.241379310344811</v>
      </c>
      <c r="P59" s="1">
        <v>85</v>
      </c>
    </row>
    <row r="60" spans="11:16" x14ac:dyDescent="0.55000000000000004">
      <c r="K60" s="1">
        <v>21</v>
      </c>
      <c r="L60" s="1">
        <v>90.586704989313887</v>
      </c>
      <c r="M60" s="1">
        <v>-0.58670498931388693</v>
      </c>
      <c r="O60" s="1">
        <v>70.689655172413779</v>
      </c>
      <c r="P60" s="1">
        <v>86</v>
      </c>
    </row>
    <row r="61" spans="11:16" x14ac:dyDescent="0.55000000000000004">
      <c r="K61" s="1">
        <v>22</v>
      </c>
      <c r="L61" s="1">
        <v>62.085673225735128</v>
      </c>
      <c r="M61" s="1">
        <v>-8.5673225735128256E-2</v>
      </c>
      <c r="O61" s="1">
        <v>74.137931034482747</v>
      </c>
      <c r="P61" s="1">
        <v>88</v>
      </c>
    </row>
    <row r="62" spans="11:16" x14ac:dyDescent="0.55000000000000004">
      <c r="K62" s="1">
        <v>23</v>
      </c>
      <c r="L62" s="1">
        <v>86.201930871840233</v>
      </c>
      <c r="M62" s="1">
        <v>-0.20193087184023284</v>
      </c>
      <c r="O62" s="1">
        <v>77.586206896551715</v>
      </c>
      <c r="P62" s="1">
        <v>89</v>
      </c>
    </row>
    <row r="63" spans="11:16" x14ac:dyDescent="0.55000000000000004">
      <c r="K63" s="1">
        <v>24</v>
      </c>
      <c r="L63" s="1">
        <v>75.239995578156098</v>
      </c>
      <c r="M63" s="1">
        <v>-1.2399955781560976</v>
      </c>
      <c r="O63" s="1">
        <v>81.034482758620683</v>
      </c>
      <c r="P63" s="1">
        <v>90</v>
      </c>
    </row>
    <row r="64" spans="11:16" x14ac:dyDescent="0.55000000000000004">
      <c r="K64" s="1">
        <v>25</v>
      </c>
      <c r="L64" s="1">
        <v>97.163866165524382</v>
      </c>
      <c r="M64" s="1">
        <v>-1.1638661655243823</v>
      </c>
      <c r="O64" s="1">
        <v>84.482758620689651</v>
      </c>
      <c r="P64" s="1">
        <v>91</v>
      </c>
    </row>
    <row r="65" spans="11:16" x14ac:dyDescent="0.55000000000000004">
      <c r="K65" s="1">
        <v>26</v>
      </c>
      <c r="L65" s="1">
        <v>55.508512049524647</v>
      </c>
      <c r="M65" s="1">
        <v>-1.5085120495246471</v>
      </c>
      <c r="O65" s="1">
        <v>87.931034482758605</v>
      </c>
      <c r="P65" s="1">
        <v>92</v>
      </c>
    </row>
    <row r="66" spans="11:16" x14ac:dyDescent="0.55000000000000004">
      <c r="K66" s="1">
        <v>27</v>
      </c>
      <c r="L66" s="1">
        <v>84.009543813103406</v>
      </c>
      <c r="M66" s="1">
        <v>-1.0095438131034058</v>
      </c>
      <c r="O66" s="1">
        <v>91.379310344827573</v>
      </c>
      <c r="P66" s="1">
        <v>93</v>
      </c>
    </row>
    <row r="67" spans="11:16" x14ac:dyDescent="0.55000000000000004">
      <c r="K67" s="1">
        <v>28</v>
      </c>
      <c r="L67" s="1">
        <v>68.662834401945616</v>
      </c>
      <c r="M67" s="1">
        <v>0.33716559805438351</v>
      </c>
      <c r="O67" s="1">
        <v>94.827586206896541</v>
      </c>
      <c r="P67" s="1">
        <v>94</v>
      </c>
    </row>
    <row r="68" spans="11:16" ht="14.7" thickBot="1" x14ac:dyDescent="0.6">
      <c r="K68" s="2">
        <v>29</v>
      </c>
      <c r="L68" s="2">
        <v>92.779092048050728</v>
      </c>
      <c r="M68" s="2">
        <v>0.22090795194927182</v>
      </c>
      <c r="O68" s="2">
        <v>98.275862068965509</v>
      </c>
      <c r="P68" s="2">
        <v>96</v>
      </c>
    </row>
  </sheetData>
  <sortState xmlns:xlrd2="http://schemas.microsoft.com/office/spreadsheetml/2017/richdata2" ref="P40:P68">
    <sortCondition ref="P40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Student_Data</vt:lpstr>
      <vt:lpstr>Sheet1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2026-02-16T15:37:27Z</dcterms:created>
  <dcterms:modified xsi:type="dcterms:W3CDTF">2026-02-21T18:07:30Z</dcterms:modified>
</cp:coreProperties>
</file>